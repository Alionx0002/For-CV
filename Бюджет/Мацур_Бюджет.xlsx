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malininka/Desktop/Бюджет/"/>
    </mc:Choice>
  </mc:AlternateContent>
  <xr:revisionPtr revIDLastSave="0" documentId="13_ncr:1_{06773636-E8CA-F949-BE8C-13590CA26581}" xr6:coauthVersionLast="47" xr6:coauthVersionMax="47" xr10:uidLastSave="{00000000-0000-0000-0000-000000000000}"/>
  <bookViews>
    <workbookView xWindow="0" yWindow="760" windowWidth="29400" windowHeight="18360" activeTab="3" xr2:uid="{00000000-000D-0000-FFFF-FFFF00000000}"/>
  </bookViews>
  <sheets>
    <sheet name="Задание 1" sheetId="1" r:id="rId1"/>
    <sheet name="К з1" sheetId="2" r:id="rId2"/>
    <sheet name="Задание 2" sheetId="3" r:id="rId3"/>
    <sheet name="Задание 3"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4" l="1"/>
  <c r="F2" i="4"/>
  <c r="E2" i="4"/>
  <c r="C31" i="4"/>
  <c r="B31" i="4"/>
  <c r="F14" i="1"/>
  <c r="G14" i="1"/>
  <c r="H14" i="1"/>
  <c r="I14" i="1"/>
  <c r="E14" i="1"/>
  <c r="J8" i="1"/>
  <c r="K8" i="1"/>
  <c r="L8" i="1"/>
  <c r="M8" i="1"/>
  <c r="N8" i="1"/>
  <c r="J9" i="1"/>
  <c r="K9" i="1"/>
  <c r="L9" i="1"/>
  <c r="M9" i="1"/>
  <c r="N9" i="1"/>
  <c r="J10" i="1"/>
  <c r="K10" i="1"/>
  <c r="L10" i="1"/>
  <c r="M10" i="1"/>
  <c r="N10" i="1"/>
  <c r="J11" i="1"/>
  <c r="K11" i="1"/>
  <c r="L11" i="1"/>
  <c r="M11" i="1"/>
  <c r="N11" i="1"/>
  <c r="J12" i="1"/>
  <c r="K12" i="1"/>
  <c r="L12" i="1"/>
  <c r="M12" i="1"/>
  <c r="N12" i="1"/>
  <c r="N7" i="1"/>
  <c r="K7" i="1"/>
  <c r="L7" i="1"/>
  <c r="M7" i="1"/>
  <c r="J7" i="1"/>
  <c r="E5" i="4"/>
  <c r="F5" i="4"/>
  <c r="G5" i="4"/>
  <c r="E6" i="4"/>
  <c r="F6" i="4"/>
  <c r="G6" i="4"/>
  <c r="E7" i="4"/>
  <c r="F7" i="4"/>
  <c r="G7" i="4"/>
  <c r="E8" i="4"/>
  <c r="F8" i="4"/>
  <c r="G8" i="4"/>
  <c r="E9" i="4"/>
  <c r="F9" i="4"/>
  <c r="G9" i="4"/>
  <c r="E10" i="4"/>
  <c r="F10" i="4"/>
  <c r="G10" i="4"/>
  <c r="E11" i="4"/>
  <c r="F11" i="4"/>
  <c r="G11" i="4"/>
  <c r="E12" i="4"/>
  <c r="F12" i="4"/>
  <c r="G12" i="4"/>
  <c r="E13" i="4"/>
  <c r="F13" i="4"/>
  <c r="G13" i="4"/>
  <c r="E14" i="4"/>
  <c r="F14" i="4"/>
  <c r="G14" i="4"/>
  <c r="E16" i="4"/>
  <c r="F16" i="4"/>
  <c r="G16" i="4"/>
  <c r="E17" i="4"/>
  <c r="F17" i="4"/>
  <c r="G17" i="4"/>
  <c r="E18" i="4"/>
  <c r="F18" i="4"/>
  <c r="G18" i="4"/>
  <c r="E20" i="4"/>
  <c r="F20" i="4"/>
  <c r="G20" i="4"/>
  <c r="E21" i="4"/>
  <c r="F21" i="4"/>
  <c r="G21" i="4"/>
  <c r="E22" i="4"/>
  <c r="F22" i="4"/>
  <c r="G22" i="4"/>
  <c r="E23" i="4"/>
  <c r="F23" i="4"/>
  <c r="G23" i="4"/>
  <c r="E24" i="4"/>
  <c r="F24" i="4"/>
  <c r="G24" i="4"/>
  <c r="E25" i="4"/>
  <c r="F25" i="4"/>
  <c r="G25" i="4"/>
  <c r="E26" i="4"/>
  <c r="F26" i="4"/>
  <c r="G26" i="4"/>
  <c r="E27" i="4"/>
  <c r="F27" i="4"/>
  <c r="G27" i="4"/>
  <c r="E28" i="4"/>
  <c r="F28" i="4"/>
  <c r="G28" i="4"/>
  <c r="E29" i="4"/>
  <c r="F29" i="4"/>
  <c r="G29" i="4"/>
  <c r="E30" i="4"/>
  <c r="F30" i="4"/>
  <c r="G30" i="4"/>
  <c r="E8" i="3"/>
  <c r="D6" i="3"/>
  <c r="E6" i="3"/>
  <c r="F6" i="3"/>
  <c r="F10" i="3" s="1"/>
  <c r="D7" i="3"/>
  <c r="E7" i="3"/>
  <c r="E11" i="3" s="1"/>
  <c r="F7" i="3"/>
  <c r="E5" i="3"/>
  <c r="F5" i="3"/>
  <c r="F9" i="3" s="1"/>
  <c r="D5" i="3"/>
  <c r="E24" i="1"/>
  <c r="E31" i="1"/>
  <c r="E29" i="1"/>
  <c r="E22" i="1"/>
  <c r="E17" i="1"/>
  <c r="E13" i="1"/>
  <c r="F13" i="1"/>
  <c r="I13" i="1"/>
  <c r="H13" i="1"/>
  <c r="G13" i="1"/>
  <c r="B32" i="4" l="1"/>
  <c r="E16" i="1"/>
  <c r="F17" i="1" s="1"/>
  <c r="D8" i="3"/>
  <c r="E10" i="3"/>
  <c r="F11" i="3"/>
  <c r="F8" i="3"/>
  <c r="E9" i="3"/>
  <c r="F22" i="1" l="1"/>
  <c r="F29" i="1"/>
  <c r="F31" i="1"/>
  <c r="F24" i="1"/>
</calcChain>
</file>

<file path=xl/sharedStrings.xml><?xml version="1.0" encoding="utf-8"?>
<sst xmlns="http://schemas.openxmlformats.org/spreadsheetml/2006/main" count="1349" uniqueCount="332">
  <si>
    <t xml:space="preserve">1. Проанализировать структуру расходов федерального бюджета по коду вида расходов 415 за последние 5 лет. Проанализировать структуру и объем ассигнований на указанный вид расходов в разрезе национальных проектов (за 1 год). </t>
  </si>
  <si>
    <t>https://minfin.gov.ru/ru/document/?id_4=136382</t>
  </si>
  <si>
    <t>Бюджетные инвестиции в соответствии с концессионными соглашениями</t>
  </si>
  <si>
    <t xml:space="preserve">
Генеральная прокуратура Российской Федерации</t>
  </si>
  <si>
    <t xml:space="preserve">
Государственная программа Российской Федерации "Информационное общество"</t>
  </si>
  <si>
    <t xml:space="preserve">
Обеспечение деятельности органов военной прокуратуры</t>
  </si>
  <si>
    <t>200</t>
  </si>
  <si>
    <t>415</t>
  </si>
  <si>
    <t xml:space="preserve">
Национальная безопасность и правоохранительная деятельность</t>
  </si>
  <si>
    <t>0300</t>
  </si>
  <si>
    <t xml:space="preserve">
Органы прокуратуры и следствия</t>
  </si>
  <si>
    <t>0301</t>
  </si>
  <si>
    <t>2300000000</t>
  </si>
  <si>
    <t xml:space="preserve">
Федеральный проект "Цифровое государственное управление"</t>
  </si>
  <si>
    <t>232D600000</t>
  </si>
  <si>
    <t xml:space="preserve">
Реализация отдельных федеральных проектов в сфере цифровой экономики (Закупка товаров, работ и услуг для обеспечения государственных (муниципальных) нужд)</t>
  </si>
  <si>
    <t>232D6D0000</t>
  </si>
  <si>
    <t xml:space="preserve">
Обеспечение эксплуатации и развития информационных систем и сервисов органов прокуратуры, информационно-телекоммуникационной инфраструктуры и ее компонентов (Закупка товаров, работ и услуг в сфере информационно-коммуникационных технологий)</t>
  </si>
  <si>
    <t>232D621300</t>
  </si>
  <si>
    <t>242</t>
  </si>
  <si>
    <t/>
  </si>
  <si>
    <t xml:space="preserve">
Обеспечение эксплуатации и развития информационных систем и сервисов органов прокуратуры, информационно-телекоммуникационной инфраструктуры и ее компонентов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</si>
  <si>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246</t>
  </si>
  <si>
    <t xml:space="preserve">
Прокуратура Российской Федерации</t>
  </si>
  <si>
    <t>9100000000</t>
  </si>
  <si>
    <t>9120000000</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</si>
  <si>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</si>
  <si>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9120090000</t>
  </si>
  <si>
    <t>100</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</si>
  <si>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</si>
  <si>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9120090049</t>
  </si>
  <si>
    <t>121</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</si>
  <si>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</si>
  <si>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122</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</si>
  <si>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</si>
  <si>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129</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</si>
  <si>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</si>
  <si>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131</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</si>
  <si>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</si>
  <si>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134</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</si>
  <si>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</si>
  <si>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139</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</si>
  <si>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</si>
  <si>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9120093968</t>
  </si>
  <si>
    <t>133</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</si>
  <si>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</si>
  <si>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9120093987</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</si>
  <si>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</si>
  <si>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9120093994</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</si>
  <si>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</si>
  <si>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9120093996</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</si>
  <si>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</si>
  <si>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</si>
  <si>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</si>
  <si>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244</t>
  </si>
  <si>
    <t xml:space="preserve">
Жилищно-коммунальные (коммунальные) услуги, взносы на капитальный ремонт общего имущества в многоквартирном доме (Прочая закупка товаров, работ и услуг)</t>
  </si>
  <si>
    <t>9120090071</t>
  </si>
  <si>
    <t xml:space="preserve">
Жилищно-коммунальные (коммунальные) услуги, взносы на капитальный ремонт общего имущества в многоквартирном доме (Закупка энергетических ресурсов)</t>
  </si>
  <si>
    <t>247</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</si>
  <si>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(Прочая закупка товаров, работ и услуг)</t>
  </si>
  <si>
    <t>9120093992</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</si>
  <si>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</si>
  <si>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300</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</si>
  <si>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</si>
  <si>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321</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</si>
  <si>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</si>
  <si>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800</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</si>
  <si>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</si>
  <si>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831</t>
  </si>
  <si>
    <t xml:space="preserve">
Обеспечение деятельности органов и организаций прокуратуры Российской Федерации, за исключением органов военной прокуратуры</t>
  </si>
  <si>
    <t>9190000000</t>
  </si>
  <si>
    <t>9190090000</t>
  </si>
  <si>
    <t xml:space="preserve">
Расходы на выплаты по оплате труда работников государственных органов (Фонд оплаты труда государственных (муниципальных) органов)</t>
  </si>
  <si>
    <t>9190090011</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</si>
  <si>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</si>
  <si>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выплаты по оплате труда работников территориальных органов (Фонд оплаты труда государственных (муниципальных) органов)</t>
  </si>
  <si>
    <t>9190090012</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</si>
  <si>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</si>
  <si>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(Фонд оплаты труда государственных (муниципальных) органов)</t>
  </si>
  <si>
    <t>9190090013</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</si>
  <si>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</si>
  <si>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(Фонд оплаты труда государственных (муниципальных) органов)</t>
  </si>
  <si>
    <t>9190090014</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</si>
  <si>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</si>
  <si>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(Иные выплаты персоналу государственных (муниципальных) органов, за исключением фонда оплаты труда)</t>
  </si>
  <si>
    <t>9190090019</t>
  </si>
  <si>
    <t xml:space="preserve">
Расходы на реализацию государственных функций федеральных государственных органов (Иные выплаты государственных (муниципальных) органов привлекаемым лицам)</t>
  </si>
  <si>
    <t>123</t>
  </si>
  <si>
    <t xml:space="preserve">
Расходы на реализацию государственных функций федеральных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</si>
  <si>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Реализация мероприятий специального инфраструктурного проекта по обеспечению жизнедеятельности и восстановлению инфраструктуры на территориях отдельных субъектов Российской Федерации за счет средств резервного фонда Правительства Российской Федерации (Иные выплаты персоналу государственных (муниципальных) органов, за исключением фонда оплаты труда)</t>
  </si>
  <si>
    <t>9190092567</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</si>
  <si>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</si>
  <si>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9190093974</t>
  </si>
  <si>
    <t>9190093987</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</si>
  <si>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</si>
  <si>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(Прочая закупка товаров, работ и услуг)</t>
  </si>
  <si>
    <t xml:space="preserve">
Расходы на обеспечение деятельности федеральных государственных органов (Закупка товаров, работ и услуг в сфере информационно-коммуникационных технологий)</t>
  </si>
  <si>
    <t>9190090020</t>
  </si>
  <si>
    <t xml:space="preserve">
Расходы на обеспечение деятельности федеральных государственных органов (Закупка товаров, работ и услуг в целях капитального ремонта государственного (муниципального) имущества)</t>
  </si>
  <si>
    <t>243</t>
  </si>
  <si>
    <t xml:space="preserve">
Расходы на обеспечение деятельности федеральных государственных органов (Прочая закупка товаров, работ и услуг)</t>
  </si>
  <si>
    <t>9190090071</t>
  </si>
  <si>
    <t xml:space="preserve">
Расходы на реализацию государственных функций федеральных государственных органов (Пособия, компенсации и иные социальные выплаты гражданам, кроме публичных нормативных обязательств)</t>
  </si>
  <si>
    <t xml:space="preserve">
Расходы на реализацию государственных функций федеральных государственных органов (Приобретение товаров, работ и услуг в пользу граждан в целях их социального обеспечения)</t>
  </si>
  <si>
    <t>323</t>
  </si>
  <si>
    <t xml:space="preserve">
Расходы на реализацию государственных функций федеральных государственных органов (Иные выплаты населению)</t>
  </si>
  <si>
    <t>360</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</si>
  <si>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</si>
  <si>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</si>
  <si>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400</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</si>
  <si>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</si>
  <si>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9190094009</t>
  </si>
  <si>
    <t>414</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</si>
  <si>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</si>
  <si>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9190094010</t>
  </si>
  <si>
    <t xml:space="preserve">
Расходы на реализацию государственных функций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</si>
  <si>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</si>
  <si>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федеральных государственных органов (Уплата налога на имущество организаций и земельного налога)</t>
  </si>
  <si>
    <t>851</t>
  </si>
  <si>
    <t xml:space="preserve">
Расходы на обеспечение деятельности федеральных государственных органов (Уплата прочих налогов, сборов)</t>
  </si>
  <si>
    <t>852</t>
  </si>
  <si>
    <t xml:space="preserve">
Расходы на обеспечение деятельности федеральных государственных органов (Уплата иных платежей)</t>
  </si>
  <si>
    <t>853</t>
  </si>
  <si>
    <t xml:space="preserve">
Реализация функций иных федеральных органов государственной власти</t>
  </si>
  <si>
    <t>9900000000</t>
  </si>
  <si>
    <t xml:space="preserve">
Мобилизационная подготовка органов государственной власти</t>
  </si>
  <si>
    <t>9970000000</t>
  </si>
  <si>
    <t>9970090000</t>
  </si>
  <si>
    <t xml:space="preserve">
Содержание запасных пунктов управления (специальных объектов) (Закупка товаров, работ и услуг в сфере информационно-коммуникационных технологий)</t>
  </si>
  <si>
    <t>9970092041</t>
  </si>
  <si>
    <t xml:space="preserve">
Содержание запасных пунктов управления (специальных объектов) (Прочая закупка товаров, работ и услуг)</t>
  </si>
  <si>
    <t xml:space="preserve">
Жилищно-коммунальное хозяйство</t>
  </si>
  <si>
    <t>0500</t>
  </si>
  <si>
    <t xml:space="preserve">
Жилищное хозяйство</t>
  </si>
  <si>
    <t>0501</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</si>
  <si>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</si>
  <si>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0500000000</t>
  </si>
  <si>
    <t xml:space="preserve">
Федеральный проект "Содействие субъектам Российской Федерации в реализации полномочий по оказанию государственной поддержки гражданам в обеспечении жильем и оплате жилищно-коммунальных услуг"</t>
  </si>
  <si>
    <t>0520100000</t>
  </si>
  <si>
    <t xml:space="preserve">
Мероприятия по обеспечению жильем прокуроров (Капитальные вложения в объекты государственной (муниципальной) собственности)</t>
  </si>
  <si>
    <t>0520135900</t>
  </si>
  <si>
    <t xml:space="preserve">
Мероприятия по обеспечению жильем прокуроров (Бюджетные инвестиции на приобретение объектов недвижимого имущества в государственную (муниципальную) собственность)</t>
  </si>
  <si>
    <t>412</t>
  </si>
  <si>
    <t xml:space="preserve">
Образование</t>
  </si>
  <si>
    <t>0700</t>
  </si>
  <si>
    <t xml:space="preserve">
Профессиональная подготовка, переподготовка и повышение квалификации</t>
  </si>
  <si>
    <t>0705</t>
  </si>
  <si>
    <t xml:space="preserve">
Государственный заказ на профессиональную переподготовку и повышение квалификации государственных служащих (Прочая закупка товаров, работ и услуг)</t>
  </si>
  <si>
    <t>9190092040</t>
  </si>
  <si>
    <t xml:space="preserve">
Высшее образование</t>
  </si>
  <si>
    <t>0706</t>
  </si>
  <si>
    <t xml:space="preserve">
Расходы на обеспечение деятельности (оказание услуг) государственных учреждений (Фонд оплаты труда учреждений)</t>
  </si>
  <si>
    <t>9190090059</t>
  </si>
  <si>
    <t>111</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</si>
  <si>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</si>
  <si>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112</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</si>
  <si>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</si>
  <si>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119</t>
  </si>
  <si>
    <t xml:space="preserve">
Расходы на обеспечение деятельности (оказание услуг) государственных учреждений (Закупка товаров, работ и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</si>
  <si>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(Закупка товаров, работ и услуг в целях капитального ремонта государственного (муниципального) имущества)</t>
  </si>
  <si>
    <t xml:space="preserve">
Расходы на обеспечение деятельности (оказание услуг) государственных учреждений (Прочая закупка товаров, работ и услуг)</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</si>
  <si>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</si>
  <si>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</si>
  <si>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9190093490</t>
  </si>
  <si>
    <t>340</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</si>
  <si>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</si>
  <si>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</si>
  <si>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Расходы на обеспечение деятельности (оказание услуг) государственных учреждений (Уплата иных платежей)</t>
  </si>
  <si>
    <t xml:space="preserve">
Прикладные научные исследования в области образования</t>
  </si>
  <si>
    <t>0708</t>
  </si>
  <si>
    <t xml:space="preserve">
Здравоохранение</t>
  </si>
  <si>
    <t>0900</t>
  </si>
  <si>
    <t xml:space="preserve">
Санаторно-оздоровительная помощь</t>
  </si>
  <si>
    <t>0905</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</si>
  <si>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</si>
  <si>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600</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</si>
  <si>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</si>
  <si>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611</t>
  </si>
  <si>
    <t xml:space="preserve">
Расходы на обеспечение деятельности (оказание услуг) государственных учреждений (Субсидии бюджетным учреждениям на иные цели)</t>
  </si>
  <si>
    <t>612</t>
  </si>
  <si>
    <t xml:space="preserve">
Социальная политика</t>
  </si>
  <si>
    <t>1000</t>
  </si>
  <si>
    <t xml:space="preserve">
Пенсионное обеспечение</t>
  </si>
  <si>
    <t>1001</t>
  </si>
  <si>
    <t xml:space="preserve">
Развитие пенсионной системы Российской Федерации</t>
  </si>
  <si>
    <t>7100000000</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</si>
  <si>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(Закупка товаров, работ и услуг для обеспечения государственных (муниципальных) нужд)</t>
  </si>
  <si>
    <t>7100030010</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</si>
  <si>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</si>
  <si>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(Социальное обеспечение и иные выплаты населению)</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</si>
  <si>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(Иные пенсии, социальные доплаты к пенсиям)</t>
  </si>
  <si>
    <t>312</t>
  </si>
  <si>
    <t xml:space="preserve">
Социальное обеспечение населения</t>
  </si>
  <si>
    <t>1003</t>
  </si>
  <si>
    <t xml:space="preserve">
Государственная программа Российской Федерации "Социальная поддержка граждан"</t>
  </si>
  <si>
    <t>0300000000</t>
  </si>
  <si>
    <t xml:space="preserve">
Комплекс процессных мероприятий "Предоставление мер государственной поддержки гражданам, подвергшимся воздействию радиации вследствие радиационных аварий и ядерных испытаний"</t>
  </si>
  <si>
    <t>0340100000</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</si>
  <si>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</si>
  <si>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0340130040</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</si>
  <si>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</si>
  <si>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313</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</si>
  <si>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</si>
  <si>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0340130050</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</si>
  <si>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</si>
  <si>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Комплекс процессных мероприятий "Предоставление мер социальной поддержки ветеранам Великой Отечественной войны и боевых действий"</t>
  </si>
  <si>
    <t>0340300000</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</si>
  <si>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</si>
  <si>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0340330350</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</si>
  <si>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</si>
  <si>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</si>
  <si>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0340331240</t>
  </si>
  <si>
    <t xml:space="preserve">
Ежегодная денежная выплата некоторым категориям граждан Российской Федерации к Дню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</si>
  <si>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Комплекс процессных мероприятий "Предоставление мер государственной поддержки инвалидам"</t>
  </si>
  <si>
    <t>0340400000</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</si>
  <si>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</si>
  <si>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0340430360</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</si>
  <si>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</si>
  <si>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Комплекс процессных мероприятий "Предоставление мер социальной поддержки отдельным категориям граждан"</t>
  </si>
  <si>
    <t>0340700000</t>
  </si>
  <si>
    <t xml:space="preserve">
Возмещение федеральными органами исполнительной власти, федеральными государственными органами расходов на погребение (Социальное обеспечение и иные выплаты населению)</t>
  </si>
  <si>
    <t>0340730140</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</si>
  <si>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</si>
  <si>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0340730190</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</si>
  <si>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</si>
  <si>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</si>
  <si>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0340730390</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</si>
  <si>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</si>
  <si>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Возмещение органами прокуратуры Российской Федерации расходов на погребение (Социальное обеспечение и иные выплаты населению)</t>
  </si>
  <si>
    <t>0340731080</t>
  </si>
  <si>
    <t xml:space="preserve">
Возмещение органами прокуратуры Российской Федерации расходов на погребение (Пособия, компенсации, меры социальной поддержки по публичным нормативным обязательствам)</t>
  </si>
  <si>
    <t xml:space="preserve">
Комплекс процессных мероприятий "Предоставление мер государственной поддержки отдельным категориям государственных служащих, уволенным из их числа, военнослужащим, сотрудникам некоторых федеральных органов государственной власти, гражданам, проходившим военные сборы, инвалидам вследствие военной травмы, погибшим (умершим) или получившим увечья при исполнении служебных обязанностей, и членам их семей"</t>
  </si>
  <si>
    <t>0340800000</t>
  </si>
  <si>
    <t xml:space="preserve">
Выплата оклада по воинскому званию военнослужащим, уволенным с военной службы без права на пенсию (Социальное обеспечение и иные выплаты населению)</t>
  </si>
  <si>
    <t>0340830170</t>
  </si>
  <si>
    <t xml:space="preserve">
Выплата оклада по воинскому званию военнослужащим, уволенным с военной службы без права на пенсию (Пособия, компенсации, меры социальной поддержки по публичным нормативным обязательствам)</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</si>
  <si>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(Социальное обеспечение и иные выплаты населению)</t>
  </si>
  <si>
    <t>0340830240</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</si>
  <si>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(Пособия, компенсации, меры социальной поддержки по публичным нормативным обязательствам)</t>
  </si>
  <si>
    <t xml:space="preserve">
Пособие детям погибших (пропавших без вести) работников органов прокуратуры (Социальное обеспечение и иные выплаты населению)</t>
  </si>
  <si>
    <t>0340830410</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</si>
  <si>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</si>
  <si>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Выплата на проведение оздоровительного отдыха детей военнослужащих, лиц, проходящих службу в войсках национальной гвардии Российской Федерации и имеющих специальные звания полиции, сотрудников органов внутренних дел, Государственной противопожарной службы, уголовно-исполнительной системы, таможенных органов, органов по контролю за оборотом наркотических средств и психотропных веществ, а также лиц, уволенных со службы в федеральных органах налоговой полиции, ставших инвалидами вследствие военной травмы, погибших (умерших), пропавших без вести при исполнении обязанностей военной службы (служебных обязанностей) по контракту (Социальное обеспечение и иные выплаты населению)</t>
  </si>
  <si>
    <t>0340831550</t>
  </si>
  <si>
    <t xml:space="preserve">
Выплата на проведение оздоровительного отдыха детей военнослужащих, лиц, проходящих службу в войсках национальной гвардии Российской Федерации и имеющих специальные звания полиции, сотрудников органов внутренних дел, Государственной противопожарной службы, уголовно-исполнительной системы, таможенных органов, органов по контролю за оборотом наркотических средств и психотропных веществ, а также лиц, уволенных со службы в федеральных органах налоговой полиции, ставших инвалидами вследствие военной травмы, погибших (умерших), пропавших без вести при исполнении обязанностей военной службы (служебных обязанностей) по контракту (Пособия, компенсации, меры социальной поддержки по публичным нормативным обязательствам)</t>
  </si>
  <si>
    <t>0340890000</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</si>
  <si>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(Пособия, компенсации и иные социальные выплаты гражданам, кроме публичных нормативных обязательств)</t>
  </si>
  <si>
    <t>0340893977</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</si>
  <si>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</si>
  <si>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0340893981</t>
  </si>
  <si>
    <t xml:space="preserve">
Комплекс процессных мероприятий "Выполнение государственных обязательств по обеспечению жильем отдельных категорий граждан"</t>
  </si>
  <si>
    <t>0540200000</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</si>
  <si>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</si>
  <si>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0540235890</t>
  </si>
  <si>
    <t xml:space="preserve">
Мероприятия по обеспечению жильем федеральных государственных гражданских служащих (Субсидии гражданам на приобретение жилья)</t>
  </si>
  <si>
    <t>322</t>
  </si>
  <si>
    <t xml:space="preserve">
Ежемесячные компенсационные выплаты отдельным категориям военнослужащих (Иные выплаты военнослужащим и сотрудникам, имеющим специальные звания)</t>
  </si>
  <si>
    <t>9120093540</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</si>
  <si>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</si>
  <si>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9120093580</t>
  </si>
  <si>
    <t xml:space="preserve">
Дополнительная социальная выплата отдельным категориям военнослужащих и сотрудников (Иные выплаты персоналу учреждений, за исключением фонда оплаты труда)</t>
  </si>
  <si>
    <t>9190093522</t>
  </si>
  <si>
    <t xml:space="preserve">
Дополнительная социальная выплата отдельным категориям военнослужащих и сотрудников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</si>
  <si>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Дополнительная социальная выплата отдельным категориям военнослужащих и сотрудников (Иные выплаты персоналу государственных (муниципальных) органов, за исключением фонда оплаты труда)</t>
  </si>
  <si>
    <t xml:space="preserve">
Дополнительная социальная выплата отдельным категориям военнослужащих и сотрудников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</si>
  <si>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Единовременная социальная выплата для приобретения или строительства жилого помещения (Субсидии гражданам на приобретение жилья)</t>
  </si>
  <si>
    <t>9190093594</t>
  </si>
  <si>
    <t xml:space="preserve">
Охрана семьи и детства</t>
  </si>
  <si>
    <t>1004</t>
  </si>
  <si>
    <t xml:space="preserve">
Комплекс процессных мероприятий "Предоставление мер государственной поддержки семьям с детьми"</t>
  </si>
  <si>
    <t>0340500000</t>
  </si>
  <si>
    <t>0340590000</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</si>
  <si>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</si>
  <si>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0340593988</t>
  </si>
  <si>
    <t xml:space="preserve">
Единовременное пособие при рождении ребенка (Иные выплаты военнослужащим и сотрудникам, имеющим специальные звания)</t>
  </si>
  <si>
    <t>0340593990</t>
  </si>
  <si>
    <t xml:space="preserve">
Комплекс процессных мероприятий "Предоставление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</si>
  <si>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0341100000</t>
  </si>
  <si>
    <t>0341190000</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</si>
  <si>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</si>
  <si>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0341193986</t>
  </si>
  <si>
    <t>https://www.roskazna.gov.ru/ispolnenie-byudzhetov/federalnyj-byudzhet/</t>
  </si>
  <si>
    <t xml:space="preserve">
Общегосударственные вопросы</t>
  </si>
  <si>
    <t>0100</t>
  </si>
  <si>
    <t>Ф. 0507011</t>
  </si>
  <si>
    <r>
      <t>2.</t>
    </r>
    <r>
      <rPr>
        <b/>
        <sz val="7"/>
        <color theme="1"/>
        <rFont val="Times New Roman"/>
        <family val="1"/>
        <charset val="204"/>
      </rPr>
      <t>  </t>
    </r>
    <r>
      <rPr>
        <b/>
        <sz val="11"/>
        <color theme="1"/>
        <rFont val="Times New Roman"/>
        <family val="1"/>
        <charset val="204"/>
      </rPr>
      <t>Рассмотреть динамику и объем поступлений по акцизам на спиртосодержащую продукцию за 3 года</t>
    </r>
  </si>
  <si>
    <t>https://budget.gov.ru/Бюджет/Доходы/Исполнение-бюджета-по-видам-доходов</t>
  </si>
  <si>
    <t>153</t>
  </si>
  <si>
    <t xml:space="preserve">
Акцизы на спиртосодержащую продукцию, ввозимую на территорию Российской Федерации</t>
  </si>
  <si>
    <t>10402020010000110</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</si>
  <si>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</si>
  <si>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10402020011000110</t>
  </si>
  <si>
    <t xml:space="preserve">
Акцизы на спиртосодержащую продукцию, ввозимую на территорию Российской Федерации (пени и проценты по соответствующему платежу)</t>
  </si>
  <si>
    <t>10402020012000110</t>
  </si>
  <si>
    <t>https://chgcity.ru/pages/бюджет</t>
  </si>
  <si>
    <t>Доходы</t>
  </si>
  <si>
    <t>Расходы</t>
  </si>
  <si>
    <t>Общегосударственные вопросы</t>
  </si>
  <si>
    <t>Национальная экономика</t>
  </si>
  <si>
    <t>Жилищно-коммунальное хозяйство</t>
  </si>
  <si>
    <t>Охрана окружающей среды</t>
  </si>
  <si>
    <t>Образование</t>
  </si>
  <si>
    <t>Культура, кинематография</t>
  </si>
  <si>
    <t>Социальная политика</t>
  </si>
  <si>
    <t>Социальное обеспечение населения</t>
  </si>
  <si>
    <t>Охрана семьи и детства</t>
  </si>
  <si>
    <t>Физическая культура и спорт</t>
  </si>
  <si>
    <t>3. Составить структуру  доходов и расходов бюджета г. Черноголовка за три года</t>
  </si>
  <si>
    <t>Средства массовой информации</t>
  </si>
  <si>
    <t>На 2024 год</t>
  </si>
  <si>
    <t>1135095160,18</t>
  </si>
  <si>
    <t>тыс.</t>
  </si>
  <si>
    <t>Налоговые и неналоговые доходы</t>
  </si>
  <si>
    <t>Безвозмездные поступления от других бюджетов бюджетной системы Российской федерации</t>
  </si>
  <si>
    <t xml:space="preserve">Налоги на прибыль, доходы </t>
  </si>
  <si>
    <t>Налоги на товары (услуги), реализуемые на территории РФ</t>
  </si>
  <si>
    <t>Налоги на совокупный доход</t>
  </si>
  <si>
    <t>Налоги на имущество</t>
  </si>
  <si>
    <t>Государственная пошлина</t>
  </si>
  <si>
    <t>Доходы от использования имущества, находящегося в государственной и муниципальной собственности</t>
  </si>
  <si>
    <t xml:space="preserve">Платежи при использовании природными ресурсами </t>
  </si>
  <si>
    <t>Доходы от оказания платных услуг и компенсации затрат государства</t>
  </si>
  <si>
    <t>Доходы от продажи материальных и нематериальных активов</t>
  </si>
  <si>
    <t>Штрафы, санкции, возмещение ущерба</t>
  </si>
  <si>
    <t>Доходы бюджетов бюджетной системы Российской федерации от возврата остатков субсидий, субвенций и иных межбюджетных трансферов, имеющих целевое назначение, прошлых лет</t>
  </si>
  <si>
    <t>Возврат остатков субсидий, субвенций и иных межбюджетных трансфертов, имеющих целевое назначение, прошлых лет</t>
  </si>
  <si>
    <t>7312,9</t>
  </si>
  <si>
    <t>Итого</t>
  </si>
  <si>
    <t>Процентное изменение</t>
  </si>
  <si>
    <t>н/д</t>
  </si>
  <si>
    <t>Доля к общим доходам</t>
  </si>
  <si>
    <t>Доля к общим расходам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</si>
</sst>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_ ;\-#,##0.00\ "/>
  </numFmts>
  <fonts count="18">
    <font>
      <sz val="11"/>
      <color theme="1"/>
      <name val="Calibri"/>
      <family val="2"/>
      <scheme val="minor"/>
    </font>
    <font>
      <sz val="10"/>
      <name val="Times New Roman"/>
      <family val="1"/>
      <charset val="204"/>
    </font>
    <font>
      <b/>
      <sz val="10"/>
      <name val="Times New Roman"/>
      <family val="1"/>
      <charset val="204"/>
    </font>
    <font>
      <sz val="10"/>
      <name val="Arial Cyr"/>
      <charset val="204"/>
    </font>
    <font>
      <sz val="10"/>
      <color indexed="8"/>
      <name val="Times New Roman"/>
      <family val="1"/>
      <charset val="204"/>
    </font>
    <font>
      <b/>
      <sz val="11"/>
      <color theme="1"/>
      <name val="Times New Roman"/>
      <family val="1"/>
      <charset val="204"/>
    </font>
    <font>
      <sz val="11"/>
      <color theme="1"/>
      <name val="Times New Roman"/>
      <family val="1"/>
      <charset val="204"/>
    </font>
    <font>
      <b/>
      <sz val="10"/>
      <color theme="1"/>
      <name val="Times New Roman"/>
      <family val="1"/>
      <charset val="204"/>
    </font>
    <font>
      <b/>
      <sz val="7"/>
      <color theme="1"/>
      <name val="Times New Roman"/>
      <family val="1"/>
      <charset val="204"/>
    </font>
    <font>
      <sz val="10"/>
      <name val="Arial"/>
      <family val="2"/>
      <charset val="204"/>
    </font>
    <font>
      <sz val="12"/>
      <color theme="1"/>
      <name val="Times New Roman"/>
      <family val="1"/>
    </font>
    <font>
      <b/>
      <sz val="12"/>
      <color indexed="8"/>
      <name val="Times New Roman"/>
      <family val="1"/>
    </font>
    <font>
      <b/>
      <sz val="12"/>
      <color theme="1"/>
      <name val="Times New Roman"/>
      <family val="1"/>
    </font>
    <font>
      <sz val="12"/>
      <color indexed="8"/>
      <name val="Times New Roman"/>
      <family val="1"/>
    </font>
    <font>
      <b/>
      <sz val="11"/>
      <color theme="1"/>
      <name val="Times New Roman"/>
      <family val="1"/>
    </font>
    <font>
      <sz val="10"/>
      <name val="Times New Roman"/>
      <family val="1"/>
    </font>
    <font>
      <sz val="11"/>
      <name val="Times New Roman"/>
      <family val="1"/>
    </font>
    <font>
      <b/>
      <sz val="10"/>
      <name val="Times New Roman"/>
      <family val="1"/>
    </font>
  </fonts>
  <fills count="3">
    <fill>
      <patternFill patternType="none"/>
    </fill>
    <fill>
      <patternFill patternType="gray125"/>
    </fill>
    <fill>
      <patternFill patternType="solid">
        <fgColor theme="8" tint="0.7999816888943144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8"/>
      </left>
      <right/>
      <top style="thin">
        <color indexed="8"/>
      </top>
      <bottom style="thin">
        <color indexed="64"/>
      </bottom>
      <diagonal/>
    </border>
    <border>
      <left/>
      <right/>
      <top style="thin">
        <color indexed="8"/>
      </top>
      <bottom style="thin">
        <color indexed="64"/>
      </bottom>
      <diagonal/>
    </border>
    <border>
      <left/>
      <right style="thin">
        <color indexed="8"/>
      </right>
      <top style="thin">
        <color indexed="8"/>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theme="1" tint="0.249977111117893"/>
      </left>
      <right/>
      <top style="thin">
        <color theme="1" tint="0.249977111117893"/>
      </top>
      <bottom style="thin">
        <color theme="1" tint="0.249977111117893"/>
      </bottom>
      <diagonal/>
    </border>
    <border>
      <left style="thin">
        <color indexed="8"/>
      </left>
      <right/>
      <top/>
      <bottom style="thin">
        <color indexed="8"/>
      </bottom>
      <diagonal/>
    </border>
    <border>
      <left style="thin">
        <color theme="1" tint="0.249977111117893"/>
      </left>
      <right style="thin">
        <color theme="1" tint="0.249977111117893"/>
      </right>
      <top style="thin">
        <color theme="1" tint="0.249977111117893"/>
      </top>
      <bottom/>
      <diagonal/>
    </border>
    <border>
      <left/>
      <right/>
      <top style="thin">
        <color indexed="64"/>
      </top>
      <bottom/>
      <diagonal/>
    </border>
    <border>
      <left/>
      <right style="thin">
        <color indexed="64"/>
      </right>
      <top style="thin">
        <color indexed="64"/>
      </top>
      <bottom/>
      <diagonal/>
    </border>
  </borders>
  <cellStyleXfs count="3">
    <xf numFmtId="0" fontId="0" fillId="0" borderId="0"/>
    <xf numFmtId="0" fontId="3" fillId="0" borderId="0"/>
    <xf numFmtId="0" fontId="9" fillId="0" borderId="0"/>
  </cellStyleXfs>
  <cellXfs count="72">
    <xf numFmtId="0" fontId="0" fillId="0" borderId="0" xfId="0"/>
    <xf numFmtId="0" fontId="1" fillId="2" borderId="2" xfId="0" applyFont="1" applyFill="1" applyBorder="1" applyAlignment="1">
      <alignment vertical="top" wrapText="1"/>
    </xf>
    <xf numFmtId="164" fontId="1" fillId="2" borderId="1" xfId="0" applyNumberFormat="1" applyFont="1" applyFill="1" applyBorder="1" applyAlignment="1">
      <alignment horizontal="right"/>
    </xf>
    <xf numFmtId="0" fontId="1" fillId="2" borderId="4" xfId="0" quotePrefix="1" applyFont="1" applyFill="1" applyBorder="1" applyAlignment="1">
      <alignment horizontal="center"/>
    </xf>
    <xf numFmtId="164" fontId="1" fillId="2" borderId="5" xfId="0" applyNumberFormat="1" applyFont="1" applyFill="1" applyBorder="1" applyAlignment="1">
      <alignment horizontal="right"/>
    </xf>
    <xf numFmtId="0" fontId="1" fillId="2" borderId="3" xfId="0" applyFont="1" applyFill="1" applyBorder="1" applyAlignment="1">
      <alignment horizontal="center" vertical="top" wrapText="1"/>
    </xf>
    <xf numFmtId="0" fontId="1" fillId="2" borderId="4" xfId="0" quotePrefix="1" applyFont="1" applyFill="1" applyBorder="1" applyAlignment="1">
      <alignment horizontal="center" vertical="top"/>
    </xf>
    <xf numFmtId="0" fontId="0" fillId="0" borderId="0" xfId="0" applyAlignment="1">
      <alignment vertical="top"/>
    </xf>
    <xf numFmtId="0" fontId="2" fillId="0" borderId="1" xfId="0" applyFont="1" applyBorder="1" applyAlignment="1">
      <alignment horizontal="center"/>
    </xf>
    <xf numFmtId="49" fontId="0" fillId="0" borderId="0" xfId="0" applyNumberFormat="1"/>
    <xf numFmtId="0" fontId="1" fillId="2" borderId="7" xfId="0" applyFont="1" applyFill="1" applyBorder="1" applyAlignment="1">
      <alignment vertical="top" wrapText="1"/>
    </xf>
    <xf numFmtId="0" fontId="1" fillId="2" borderId="8" xfId="0" applyFont="1" applyFill="1" applyBorder="1" applyAlignment="1">
      <alignment horizontal="center" vertical="top" wrapText="1"/>
    </xf>
    <xf numFmtId="164" fontId="1" fillId="2" borderId="6" xfId="0" applyNumberFormat="1" applyFont="1" applyFill="1" applyBorder="1" applyAlignment="1">
      <alignment horizontal="right"/>
    </xf>
    <xf numFmtId="164" fontId="1" fillId="2" borderId="9" xfId="0" applyNumberFormat="1" applyFont="1" applyFill="1" applyBorder="1" applyAlignment="1">
      <alignment horizontal="right"/>
    </xf>
    <xf numFmtId="0" fontId="2" fillId="0" borderId="1" xfId="0" applyFont="1" applyBorder="1" applyAlignment="1">
      <alignment horizontal="center" wrapText="1"/>
    </xf>
    <xf numFmtId="164" fontId="0" fillId="0" borderId="0" xfId="0" applyNumberFormat="1"/>
    <xf numFmtId="0" fontId="1" fillId="2" borderId="1" xfId="0" applyFont="1" applyFill="1" applyBorder="1" applyAlignment="1">
      <alignment vertical="top" wrapText="1"/>
    </xf>
    <xf numFmtId="0" fontId="6" fillId="0" borderId="0" xfId="0" applyFont="1"/>
    <xf numFmtId="164" fontId="6" fillId="0" borderId="1" xfId="0" applyNumberFormat="1" applyFont="1" applyBorder="1"/>
    <xf numFmtId="0" fontId="5" fillId="0" borderId="0" xfId="0" applyFont="1" applyAlignment="1">
      <alignment horizontal="left" vertical="center" indent="5"/>
    </xf>
    <xf numFmtId="0" fontId="0" fillId="0" borderId="0" xfId="0" applyAlignment="1">
      <alignment vertical="top" wrapText="1"/>
    </xf>
    <xf numFmtId="0" fontId="4" fillId="0" borderId="14" xfId="1" applyFont="1" applyBorder="1" applyAlignment="1">
      <alignment wrapText="1"/>
    </xf>
    <xf numFmtId="49" fontId="4" fillId="0" borderId="2" xfId="1" applyNumberFormat="1" applyFont="1" applyBorder="1" applyAlignment="1">
      <alignment horizontal="center"/>
    </xf>
    <xf numFmtId="49" fontId="4" fillId="0" borderId="13" xfId="1" applyNumberFormat="1" applyFont="1" applyBorder="1" applyAlignment="1">
      <alignment horizontal="center"/>
    </xf>
    <xf numFmtId="0" fontId="10" fillId="0" borderId="0" xfId="0" applyFont="1" applyAlignment="1">
      <alignment horizontal="left" vertical="center" indent="5"/>
    </xf>
    <xf numFmtId="0" fontId="10" fillId="0" borderId="0" xfId="0" applyFont="1" applyAlignment="1">
      <alignment horizontal="left" vertical="top"/>
    </xf>
    <xf numFmtId="0" fontId="10" fillId="0" borderId="0" xfId="0" applyFont="1"/>
    <xf numFmtId="49" fontId="4" fillId="0" borderId="1" xfId="1" applyNumberFormat="1" applyFont="1" applyBorder="1" applyAlignment="1">
      <alignment horizontal="center"/>
    </xf>
    <xf numFmtId="2" fontId="4" fillId="0" borderId="13" xfId="1" applyNumberFormat="1" applyFont="1" applyBorder="1" applyAlignment="1">
      <alignment horizontal="center"/>
    </xf>
    <xf numFmtId="0" fontId="11" fillId="0" borderId="15" xfId="2" applyFont="1" applyBorder="1" applyAlignment="1">
      <alignment horizontal="left" vertical="top"/>
    </xf>
    <xf numFmtId="0" fontId="13" fillId="0" borderId="15" xfId="0" applyFont="1" applyBorder="1" applyAlignment="1">
      <alignment horizontal="left" vertical="top"/>
    </xf>
    <xf numFmtId="0" fontId="11" fillId="0" borderId="16" xfId="0" applyFont="1" applyBorder="1" applyAlignment="1">
      <alignment horizontal="left" vertical="top" wrapText="1"/>
    </xf>
    <xf numFmtId="0" fontId="13" fillId="0" borderId="16" xfId="0" applyFont="1" applyBorder="1" applyAlignment="1">
      <alignment horizontal="left" vertical="top" wrapText="1"/>
    </xf>
    <xf numFmtId="0" fontId="10" fillId="0" borderId="17" xfId="0" applyFont="1" applyBorder="1" applyAlignment="1">
      <alignment horizontal="left" vertical="top"/>
    </xf>
    <xf numFmtId="0" fontId="12" fillId="0" borderId="1" xfId="0" applyFont="1" applyBorder="1"/>
    <xf numFmtId="0" fontId="10" fillId="0" borderId="1" xfId="0" applyFont="1" applyBorder="1"/>
    <xf numFmtId="0" fontId="13" fillId="0" borderId="0" xfId="0" applyFont="1" applyAlignment="1">
      <alignment horizontal="left" vertical="top"/>
    </xf>
    <xf numFmtId="2" fontId="0" fillId="0" borderId="0" xfId="0" applyNumberFormat="1"/>
    <xf numFmtId="0" fontId="14" fillId="0" borderId="1" xfId="0" applyFont="1" applyBorder="1"/>
    <xf numFmtId="0" fontId="1" fillId="0" borderId="1" xfId="0" applyFont="1" applyBorder="1" applyAlignment="1">
      <alignment horizontal="center" vertical="center"/>
    </xf>
    <xf numFmtId="0" fontId="1" fillId="0" borderId="1" xfId="0" quotePrefix="1" applyFont="1" applyBorder="1" applyAlignment="1">
      <alignment horizontal="center" vertical="center"/>
    </xf>
    <xf numFmtId="0" fontId="1" fillId="0" borderId="1" xfId="0" applyFont="1" applyBorder="1" applyAlignment="1">
      <alignment horizontal="center" vertical="center" wrapText="1"/>
    </xf>
    <xf numFmtId="4" fontId="15" fillId="0" borderId="1" xfId="0" applyNumberFormat="1" applyFont="1" applyBorder="1" applyAlignment="1">
      <alignment horizontal="right" vertical="center" shrinkToFit="1"/>
    </xf>
    <xf numFmtId="4" fontId="15" fillId="0" borderId="1" xfId="1" applyNumberFormat="1" applyFont="1" applyBorder="1" applyAlignment="1">
      <alignment horizontal="right" vertical="center" shrinkToFit="1"/>
    </xf>
    <xf numFmtId="0" fontId="16" fillId="0" borderId="1" xfId="0" applyFont="1" applyBorder="1" applyAlignment="1">
      <alignment horizontal="right" vertical="center"/>
    </xf>
    <xf numFmtId="164" fontId="15" fillId="0" borderId="1" xfId="0" applyNumberFormat="1" applyFont="1" applyBorder="1" applyAlignment="1">
      <alignment horizontal="right" vertical="center"/>
    </xf>
    <xf numFmtId="164" fontId="14" fillId="0" borderId="1" xfId="0" applyNumberFormat="1" applyFont="1" applyBorder="1" applyAlignment="1">
      <alignment horizontal="center" vertical="center"/>
    </xf>
    <xf numFmtId="0" fontId="7" fillId="0" borderId="1" xfId="0" applyFont="1" applyBorder="1" applyAlignment="1">
      <alignment horizontal="right"/>
    </xf>
    <xf numFmtId="0" fontId="15" fillId="0" borderId="1" xfId="1" applyFont="1" applyBorder="1" applyAlignment="1">
      <alignment horizontal="right" vertical="top" wrapText="1"/>
    </xf>
    <xf numFmtId="0" fontId="1" fillId="0" borderId="1" xfId="0" applyFont="1" applyBorder="1" applyAlignment="1">
      <alignment horizontal="right" vertical="top" wrapText="1"/>
    </xf>
    <xf numFmtId="0" fontId="17" fillId="2" borderId="2" xfId="0" applyFont="1" applyFill="1" applyBorder="1" applyAlignment="1">
      <alignment vertical="top" wrapText="1"/>
    </xf>
    <xf numFmtId="0" fontId="17" fillId="2" borderId="3" xfId="0" applyFont="1" applyFill="1" applyBorder="1" applyAlignment="1">
      <alignment horizontal="center" vertical="top" wrapText="1"/>
    </xf>
    <xf numFmtId="0" fontId="17" fillId="2" borderId="4" xfId="0" quotePrefix="1" applyFont="1" applyFill="1" applyBorder="1" applyAlignment="1">
      <alignment horizontal="center" vertical="top"/>
    </xf>
    <xf numFmtId="0" fontId="17" fillId="2" borderId="4" xfId="0" quotePrefix="1" applyFont="1" applyFill="1" applyBorder="1" applyAlignment="1">
      <alignment horizontal="center"/>
    </xf>
    <xf numFmtId="164" fontId="17" fillId="2" borderId="1" xfId="0" applyNumberFormat="1" applyFont="1" applyFill="1" applyBorder="1" applyAlignment="1">
      <alignment horizontal="right"/>
    </xf>
    <xf numFmtId="164" fontId="17" fillId="2" borderId="5" xfId="0" applyNumberFormat="1" applyFont="1" applyFill="1" applyBorder="1" applyAlignment="1">
      <alignment horizontal="right"/>
    </xf>
    <xf numFmtId="2" fontId="4" fillId="0" borderId="1" xfId="1" applyNumberFormat="1" applyFont="1" applyBorder="1" applyAlignment="1">
      <alignment horizontal="center"/>
    </xf>
    <xf numFmtId="2" fontId="0" fillId="0" borderId="1" xfId="0" applyNumberFormat="1" applyBorder="1"/>
    <xf numFmtId="0" fontId="0" fillId="0" borderId="1" xfId="0" applyBorder="1"/>
    <xf numFmtId="0" fontId="5" fillId="0" borderId="0" xfId="0" applyFont="1" applyAlignment="1">
      <alignment horizontal="left" vertical="top" wrapText="1"/>
    </xf>
    <xf numFmtId="0" fontId="14" fillId="0" borderId="18" xfId="0" applyFont="1" applyBorder="1" applyAlignment="1">
      <alignment horizontal="right"/>
    </xf>
    <xf numFmtId="0" fontId="14" fillId="0" borderId="19" xfId="0" applyFont="1" applyBorder="1" applyAlignment="1">
      <alignment horizontal="right"/>
    </xf>
    <xf numFmtId="0" fontId="2" fillId="0" borderId="10" xfId="0" applyFont="1" applyBorder="1" applyAlignment="1">
      <alignment horizontal="center"/>
    </xf>
    <xf numFmtId="0" fontId="2" fillId="0" borderId="11" xfId="0" applyFont="1" applyBorder="1" applyAlignment="1">
      <alignment horizontal="center"/>
    </xf>
    <xf numFmtId="0" fontId="2" fillId="0" borderId="12" xfId="0" applyFont="1" applyBorder="1" applyAlignment="1">
      <alignment horizontal="center"/>
    </xf>
    <xf numFmtId="0" fontId="14" fillId="0" borderId="7" xfId="0" applyFont="1" applyBorder="1" applyAlignment="1">
      <alignment horizontal="center"/>
    </xf>
    <xf numFmtId="0" fontId="14" fillId="0" borderId="4" xfId="0" applyFont="1" applyBorder="1" applyAlignment="1">
      <alignment horizontal="center"/>
    </xf>
    <xf numFmtId="0" fontId="14" fillId="0" borderId="2" xfId="0" applyFont="1" applyBorder="1" applyAlignment="1">
      <alignment horizontal="center"/>
    </xf>
    <xf numFmtId="0" fontId="14" fillId="0" borderId="14" xfId="0" applyFont="1" applyBorder="1" applyAlignment="1">
      <alignment horizontal="center"/>
    </xf>
    <xf numFmtId="164" fontId="14" fillId="0" borderId="0" xfId="0" applyNumberFormat="1" applyFont="1"/>
    <xf numFmtId="0" fontId="14" fillId="0" borderId="0" xfId="0" applyFont="1" applyBorder="1" applyAlignment="1">
      <alignment horizontal="right"/>
    </xf>
    <xf numFmtId="164" fontId="14" fillId="0" borderId="0" xfId="0" applyNumberFormat="1" applyFont="1" applyBorder="1" applyAlignment="1">
      <alignment horizontal="center" vertical="center"/>
    </xf>
  </cellXfs>
  <cellStyles count="3">
    <cellStyle name="Обычный" xfId="0" builtinId="0"/>
    <cellStyle name="Обычный 2" xfId="1" xr:uid="{AD28E5AB-6187-4E87-AC3B-6AE069718711}"/>
    <cellStyle name="Обычный 3" xfId="2" xr:uid="{D46CAD77-FDBF-4707-B7E0-B85ADA78367F}"/>
  </cellStyles>
  <dxfs count="8">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('Задание 1'!$A$17,'Задание 1'!$A$22,'Задание 1'!$A$24,'Задание 1'!$A$29,'Задание 1'!$A$31)</c:f>
              <c:strCache>
                <c:ptCount val="5"/>
                <c:pt idx="0">
                  <c:v>
Национальная безопасность и правоохранительная деятельность</c:v>
                </c:pt>
                <c:pt idx="1">
                  <c:v>
Жилищно-коммунальное хозяйство</c:v>
                </c:pt>
                <c:pt idx="2">
                  <c:v>
Образование</c:v>
                </c:pt>
                <c:pt idx="3">
                  <c:v>
Здравоохранение</c:v>
                </c:pt>
                <c:pt idx="4">
                  <c:v>
Социальная политика</c:v>
                </c:pt>
              </c:strCache>
            </c:strRef>
          </c:cat>
          <c:val>
            <c:numRef>
              <c:f>('Задание 1'!$F$17,'Задание 1'!$F$22,'Задание 1'!$F$24,'Задание 1'!$F$29,'Задание 1'!$F$31)</c:f>
              <c:numCache>
                <c:formatCode>General</c:formatCode>
                <c:ptCount val="5"/>
                <c:pt idx="0">
                  <c:v>0.82022522115778074</c:v>
                </c:pt>
                <c:pt idx="1">
                  <c:v>5.8979858269916415E-3</c:v>
                </c:pt>
                <c:pt idx="2">
                  <c:v>1.2201337334140784E-2</c:v>
                </c:pt>
                <c:pt idx="3">
                  <c:v>1.3750418740566348E-2</c:v>
                </c:pt>
                <c:pt idx="4">
                  <c:v>0.14792503694052048</c:v>
                </c:pt>
              </c:numCache>
            </c:numRef>
          </c:val>
          <c:extLst>
            <c:ext xmlns:c16="http://schemas.microsoft.com/office/drawing/2014/chart" uri="{C3380CC4-5D6E-409C-BE32-E72D297353CC}">
              <c16:uniqueId val="{00000000-6B02-6F4E-9061-BA06A82BCED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9972426407107712E-2"/>
          <c:y val="0.13509567532061487"/>
          <c:w val="0.87528749056751132"/>
          <c:h val="0.36757307953772944"/>
        </c:manualLayout>
      </c:layout>
      <c:barChart>
        <c:barDir val="col"/>
        <c:grouping val="stacked"/>
        <c:varyColors val="0"/>
        <c:ser>
          <c:idx val="0"/>
          <c:order val="0"/>
          <c:tx>
            <c:strRef>
              <c:f>'Задание 2'!$A$5</c:f>
              <c:strCache>
                <c:ptCount val="1"/>
                <c:pt idx="0">
                  <c:v>
Акцизы на спиртосодержащую продукцию, ввозимую на территорию Российской Федерации</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'Задание 2'!$D$4:$F$4</c:f>
              <c:numCache>
                <c:formatCode>@</c:formatCode>
                <c:ptCount val="3"/>
                <c:pt idx="0">
                  <c:v>2021</c:v>
                </c:pt>
                <c:pt idx="1">
                  <c:v>2022</c:v>
                </c:pt>
                <c:pt idx="2">
                  <c:v>2023</c:v>
                </c:pt>
              </c:numCache>
            </c:numRef>
          </c:cat>
          <c:val>
            <c:numRef>
              <c:f>'Задание 2'!$D$5:$F$5</c:f>
              <c:numCache>
                <c:formatCode>0.00</c:formatCode>
                <c:ptCount val="3"/>
                <c:pt idx="0">
                  <c:v>1135.09516018</c:v>
                </c:pt>
                <c:pt idx="1">
                  <c:v>1041.39164643</c:v>
                </c:pt>
                <c:pt idx="2">
                  <c:v>982.88443390999998</c:v>
                </c:pt>
              </c:numCache>
            </c:numRef>
          </c:val>
          <c:extLst>
            <c:ext xmlns:c16="http://schemas.microsoft.com/office/drawing/2014/chart" uri="{C3380CC4-5D6E-409C-BE32-E72D297353CC}">
              <c16:uniqueId val="{00000000-A8FF-D247-97FA-A2DF38D10548}"/>
            </c:ext>
          </c:extLst>
        </c:ser>
        <c:ser>
          <c:idx val="1"/>
          <c:order val="1"/>
          <c:tx>
            <c:strRef>
              <c:f>'Задание 2'!$A$6</c:f>
              <c:strCache>
                <c:ptCount val="1"/>
                <c:pt idx="0">
                  <c:v>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'Задание 2'!$D$4:$F$4</c:f>
              <c:numCache>
                <c:formatCode>@</c:formatCode>
                <c:ptCount val="3"/>
                <c:pt idx="0">
                  <c:v>2021</c:v>
                </c:pt>
                <c:pt idx="1">
                  <c:v>2022</c:v>
                </c:pt>
                <c:pt idx="2">
                  <c:v>2023</c:v>
                </c:pt>
              </c:numCache>
            </c:numRef>
          </c:cat>
          <c:val>
            <c:numRef>
              <c:f>'Задание 2'!$D$6:$F$6</c:f>
              <c:numCache>
                <c:formatCode>0.00</c:formatCode>
                <c:ptCount val="3"/>
                <c:pt idx="0">
                  <c:v>1129.57715809</c:v>
                </c:pt>
                <c:pt idx="1">
                  <c:v>1033.7746657299999</c:v>
                </c:pt>
                <c:pt idx="2">
                  <c:v>982.87712101</c:v>
                </c:pt>
              </c:numCache>
            </c:numRef>
          </c:val>
          <c:extLst>
            <c:ext xmlns:c16="http://schemas.microsoft.com/office/drawing/2014/chart" uri="{C3380CC4-5D6E-409C-BE32-E72D297353CC}">
              <c16:uniqueId val="{00000001-A8FF-D247-97FA-A2DF38D10548}"/>
            </c:ext>
          </c:extLst>
        </c:ser>
        <c:ser>
          <c:idx val="2"/>
          <c:order val="2"/>
          <c:tx>
            <c:strRef>
              <c:f>'Задание 2'!$A$7</c:f>
              <c:strCache>
                <c:ptCount val="1"/>
                <c:pt idx="0">
                  <c:v>
Акцизы на спиртосодержащую продукцию, ввозимую на территорию Российской Федерации (пени и проценты по соответствующему платежу)</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'Задание 2'!$D$4:$F$4</c:f>
              <c:numCache>
                <c:formatCode>@</c:formatCode>
                <c:ptCount val="3"/>
                <c:pt idx="0">
                  <c:v>2021</c:v>
                </c:pt>
                <c:pt idx="1">
                  <c:v>2022</c:v>
                </c:pt>
                <c:pt idx="2">
                  <c:v>2023</c:v>
                </c:pt>
              </c:numCache>
            </c:numRef>
          </c:cat>
          <c:val>
            <c:numRef>
              <c:f>'Задание 2'!$D$7:$F$7</c:f>
              <c:numCache>
                <c:formatCode>0.00</c:formatCode>
                <c:ptCount val="3"/>
                <c:pt idx="0">
                  <c:v>5.5180020899999995</c:v>
                </c:pt>
                <c:pt idx="1">
                  <c:v>7.6169807</c:v>
                </c:pt>
                <c:pt idx="2">
                  <c:v>7.3128999999999998E-3</c:v>
                </c:pt>
              </c:numCache>
            </c:numRef>
          </c:val>
          <c:extLst>
            <c:ext xmlns:c16="http://schemas.microsoft.com/office/drawing/2014/chart" uri="{C3380CC4-5D6E-409C-BE32-E72D297353CC}">
              <c16:uniqueId val="{00000002-A8FF-D247-97FA-A2DF38D10548}"/>
            </c:ext>
          </c:extLst>
        </c:ser>
        <c:dLbls>
          <c:showLegendKey val="0"/>
          <c:showVal val="0"/>
          <c:showCatName val="0"/>
          <c:showSerName val="0"/>
          <c:showPercent val="0"/>
          <c:showBubbleSize val="0"/>
        </c:dLbls>
        <c:gapWidth val="150"/>
        <c:overlap val="100"/>
        <c:axId val="1431734992"/>
        <c:axId val="1431746224"/>
      </c:barChart>
      <c:catAx>
        <c:axId val="1431734992"/>
        <c:scaling>
          <c:orientation val="minMax"/>
        </c:scaling>
        <c:delete val="0"/>
        <c:axPos val="b"/>
        <c:numFmt formatCode="@"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ru-RU"/>
          </a:p>
        </c:txPr>
        <c:crossAx val="1431746224"/>
        <c:crosses val="autoZero"/>
        <c:auto val="1"/>
        <c:lblAlgn val="ctr"/>
        <c:lblOffset val="100"/>
        <c:noMultiLvlLbl val="0"/>
      </c:catAx>
      <c:valAx>
        <c:axId val="14317462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431734992"/>
        <c:crosses val="autoZero"/>
        <c:crossBetween val="between"/>
      </c:valAx>
      <c:spPr>
        <a:noFill/>
        <a:ln>
          <a:noFill/>
        </a:ln>
        <a:effectLst/>
      </c:spPr>
    </c:plotArea>
    <c:legend>
      <c:legendPos val="b"/>
      <c:layout>
        <c:manualLayout>
          <c:xMode val="edge"/>
          <c:yMode val="edge"/>
          <c:x val="5.7718064705677134E-2"/>
          <c:y val="0.56164668829436615"/>
          <c:w val="0.83058550762417815"/>
          <c:h val="0.3509246271803389"/>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'Задание 3'!$A$3</c:f>
              <c:strCache>
                <c:ptCount val="1"/>
                <c:pt idx="0">
                  <c:v>Доходы</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'Задание 3'!$B$2:$D$2</c:f>
              <c:numCache>
                <c:formatCode>General</c:formatCode>
                <c:ptCount val="3"/>
                <c:pt idx="0">
                  <c:v>2020</c:v>
                </c:pt>
                <c:pt idx="1">
                  <c:v>2021</c:v>
                </c:pt>
                <c:pt idx="2">
                  <c:v>2022</c:v>
                </c:pt>
              </c:numCache>
            </c:numRef>
          </c:cat>
          <c:val>
            <c:numRef>
              <c:f>'Задание 3'!$B$3:$D$3</c:f>
              <c:numCache>
                <c:formatCode>General</c:formatCode>
                <c:ptCount val="3"/>
                <c:pt idx="0">
                  <c:v>1005995.905</c:v>
                </c:pt>
                <c:pt idx="1">
                  <c:v>1177760.2979300001</c:v>
                </c:pt>
                <c:pt idx="2">
                  <c:v>1767938.8336100001</c:v>
                </c:pt>
              </c:numCache>
            </c:numRef>
          </c:val>
          <c:smooth val="0"/>
          <c:extLst>
            <c:ext xmlns:c16="http://schemas.microsoft.com/office/drawing/2014/chart" uri="{C3380CC4-5D6E-409C-BE32-E72D297353CC}">
              <c16:uniqueId val="{00000000-7CC7-F34C-81ED-23FB48B9F1C1}"/>
            </c:ext>
          </c:extLst>
        </c:ser>
        <c:ser>
          <c:idx val="1"/>
          <c:order val="1"/>
          <c:tx>
            <c:strRef>
              <c:f>'Задание 3'!$A$19</c:f>
              <c:strCache>
                <c:ptCount val="1"/>
                <c:pt idx="0">
                  <c:v>Расходы</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'Задание 3'!$B$2:$D$2</c:f>
              <c:numCache>
                <c:formatCode>General</c:formatCode>
                <c:ptCount val="3"/>
                <c:pt idx="0">
                  <c:v>2020</c:v>
                </c:pt>
                <c:pt idx="1">
                  <c:v>2021</c:v>
                </c:pt>
                <c:pt idx="2">
                  <c:v>2022</c:v>
                </c:pt>
              </c:numCache>
            </c:numRef>
          </c:cat>
          <c:val>
            <c:numRef>
              <c:f>'Задание 3'!$B$19:$D$19</c:f>
              <c:numCache>
                <c:formatCode>General</c:formatCode>
                <c:ptCount val="3"/>
                <c:pt idx="0">
                  <c:v>1119855.7035399999</c:v>
                </c:pt>
                <c:pt idx="1">
                  <c:v>1364791.7580099998</c:v>
                </c:pt>
                <c:pt idx="2">
                  <c:v>1596574.7011600002</c:v>
                </c:pt>
              </c:numCache>
            </c:numRef>
          </c:val>
          <c:smooth val="0"/>
          <c:extLst>
            <c:ext xmlns:c16="http://schemas.microsoft.com/office/drawing/2014/chart" uri="{C3380CC4-5D6E-409C-BE32-E72D297353CC}">
              <c16:uniqueId val="{00000001-7CC7-F34C-81ED-23FB48B9F1C1}"/>
            </c:ext>
          </c:extLst>
        </c:ser>
        <c:dLbls>
          <c:showLegendKey val="0"/>
          <c:showVal val="0"/>
          <c:showCatName val="0"/>
          <c:showSerName val="0"/>
          <c:showPercent val="0"/>
          <c:showBubbleSize val="0"/>
        </c:dLbls>
        <c:smooth val="0"/>
        <c:axId val="772655664"/>
        <c:axId val="772657376"/>
      </c:lineChart>
      <c:catAx>
        <c:axId val="77265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ru-RU"/>
          </a:p>
        </c:txPr>
        <c:crossAx val="772657376"/>
        <c:crosses val="autoZero"/>
        <c:auto val="1"/>
        <c:lblAlgn val="ctr"/>
        <c:lblOffset val="100"/>
        <c:noMultiLvlLbl val="0"/>
      </c:catAx>
      <c:valAx>
        <c:axId val="772657376"/>
        <c:scaling>
          <c:orientation val="minMax"/>
          <c:min val="80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ru-RU"/>
                  <a:t>Тыс руб.</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ru-RU"/>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ru-RU"/>
          </a:p>
        </c:txPr>
        <c:crossAx val="772655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latin typeface="Times New Roman" panose="02020603050405020304" pitchFamily="18" charset="0"/>
          <a:cs typeface="Times New Roman" panose="02020603050405020304" pitchFamily="18" charset="0"/>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'Задание 3'!$A$4</c:f>
              <c:strCache>
                <c:ptCount val="1"/>
                <c:pt idx="0">
                  <c:v>Налоговые и неналоговые доходы</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'Задание 3'!$B$2:$D$2</c:f>
              <c:numCache>
                <c:formatCode>General</c:formatCode>
                <c:ptCount val="3"/>
                <c:pt idx="0">
                  <c:v>2020</c:v>
                </c:pt>
                <c:pt idx="1">
                  <c:v>2021</c:v>
                </c:pt>
                <c:pt idx="2">
                  <c:v>2022</c:v>
                </c:pt>
              </c:numCache>
            </c:numRef>
          </c:cat>
          <c:val>
            <c:numRef>
              <c:f>'Задание 3'!$B$4:$D$4</c:f>
              <c:numCache>
                <c:formatCode>General</c:formatCode>
                <c:ptCount val="3"/>
                <c:pt idx="0">
                  <c:v>653810.89500000002</c:v>
                </c:pt>
                <c:pt idx="1">
                  <c:v>538781.60694000009</c:v>
                </c:pt>
                <c:pt idx="2">
                  <c:v>943211.31504999998</c:v>
                </c:pt>
              </c:numCache>
            </c:numRef>
          </c:val>
          <c:extLst>
            <c:ext xmlns:c16="http://schemas.microsoft.com/office/drawing/2014/chart" uri="{C3380CC4-5D6E-409C-BE32-E72D297353CC}">
              <c16:uniqueId val="{00000000-695C-C842-A7C0-D1EB6851DAB8}"/>
            </c:ext>
          </c:extLst>
        </c:ser>
        <c:ser>
          <c:idx val="1"/>
          <c:order val="1"/>
          <c:tx>
            <c:strRef>
              <c:f>'Задание 3'!$A$15</c:f>
              <c:strCache>
                <c:ptCount val="1"/>
                <c:pt idx="0">
                  <c:v>Безвозмездные поступления от других бюджетов бюджетной системы Российской федерации</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'Задание 3'!$B$2:$D$2</c:f>
              <c:numCache>
                <c:formatCode>General</c:formatCode>
                <c:ptCount val="3"/>
                <c:pt idx="0">
                  <c:v>2020</c:v>
                </c:pt>
                <c:pt idx="1">
                  <c:v>2021</c:v>
                </c:pt>
                <c:pt idx="2">
                  <c:v>2022</c:v>
                </c:pt>
              </c:numCache>
            </c:numRef>
          </c:cat>
          <c:val>
            <c:numRef>
              <c:f>'Задание 3'!$B$15:$D$15</c:f>
              <c:numCache>
                <c:formatCode>General</c:formatCode>
                <c:ptCount val="3"/>
                <c:pt idx="0">
                  <c:v>352185.01</c:v>
                </c:pt>
                <c:pt idx="1">
                  <c:v>638978.69099000003</c:v>
                </c:pt>
                <c:pt idx="2">
                  <c:v>824727.51856000011</c:v>
                </c:pt>
              </c:numCache>
            </c:numRef>
          </c:val>
          <c:extLst>
            <c:ext xmlns:c16="http://schemas.microsoft.com/office/drawing/2014/chart" uri="{C3380CC4-5D6E-409C-BE32-E72D297353CC}">
              <c16:uniqueId val="{00000001-695C-C842-A7C0-D1EB6851DAB8}"/>
            </c:ext>
          </c:extLst>
        </c:ser>
        <c:dLbls>
          <c:showLegendKey val="0"/>
          <c:showVal val="0"/>
          <c:showCatName val="0"/>
          <c:showSerName val="0"/>
          <c:showPercent val="0"/>
          <c:showBubbleSize val="0"/>
        </c:dLbls>
        <c:gapWidth val="75"/>
        <c:overlap val="-62"/>
        <c:axId val="528944736"/>
        <c:axId val="528946448"/>
      </c:barChart>
      <c:catAx>
        <c:axId val="528944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ru-RU"/>
          </a:p>
        </c:txPr>
        <c:crossAx val="528946448"/>
        <c:crosses val="autoZero"/>
        <c:auto val="1"/>
        <c:lblAlgn val="ctr"/>
        <c:lblOffset val="100"/>
        <c:noMultiLvlLbl val="0"/>
      </c:catAx>
      <c:valAx>
        <c:axId val="528946448"/>
        <c:scaling>
          <c:orientation val="minMax"/>
          <c:min val="30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ru-RU" sz="1400"/>
                  <a:t>Тыс руб.</a:t>
                </a:r>
              </a:p>
            </c:rich>
          </c:tx>
          <c:layout>
            <c:manualLayout>
              <c:xMode val="edge"/>
              <c:yMode val="edge"/>
              <c:x val="1.6869728209934397E-2"/>
              <c:y val="0.33434881889763779"/>
            </c:manualLayout>
          </c:layout>
          <c:overlay val="0"/>
          <c:spPr>
            <a:noFill/>
            <a:ln>
              <a:noFill/>
            </a:ln>
            <a:effectLst/>
          </c:spPr>
          <c:txPr>
            <a:bodyPr rot="-5400000" spcFirstLastPara="1" vertOverflow="ellipsis" vert="horz" wrap="square" anchor="ctr" anchorCtr="1"/>
            <a:lstStyle/>
            <a:p>
              <a:pPr>
                <a:defRPr sz="1400" b="0" i="0" u="none" strike="noStrike"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ru-RU"/>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ru-RU"/>
          </a:p>
        </c:txPr>
        <c:crossAx val="528944736"/>
        <c:crosses val="autoZero"/>
        <c:crossBetween val="between"/>
      </c:valAx>
      <c:spPr>
        <a:noFill/>
        <a:ln>
          <a:noFill/>
        </a:ln>
        <a:effectLst/>
      </c:spPr>
    </c:plotArea>
    <c:legend>
      <c:legendPos val="b"/>
      <c:layout>
        <c:manualLayout>
          <c:xMode val="edge"/>
          <c:yMode val="edge"/>
          <c:x val="9.8834819818138853E-2"/>
          <c:y val="0.78510349866060558"/>
          <c:w val="0.8023302359716884"/>
          <c:h val="0.21489650133939442"/>
        </c:manualLayout>
      </c:layout>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latin typeface="Times New Roman" panose="02020603050405020304" pitchFamily="18" charset="0"/>
          <a:cs typeface="Times New Roman" panose="02020603050405020304" pitchFamily="18" charset="0"/>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v>2022</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'Задание 3'!$A$20:$A$30</c:f>
              <c:strCache>
                <c:ptCount val="11"/>
                <c:pt idx="0">
                  <c:v>Общегосударственные вопросы</c:v>
                </c:pt>
                <c:pt idx="1">
                  <c:v>Национальная экономика</c:v>
                </c:pt>
                <c:pt idx="2">
                  <c:v>Жилищно-коммунальное хозяйство</c:v>
                </c:pt>
                <c:pt idx="3">
                  <c:v>Охрана окружающей среды</c:v>
                </c:pt>
                <c:pt idx="4">
                  <c:v>Образование</c:v>
                </c:pt>
                <c:pt idx="5">
                  <c:v>Культура, кинематография</c:v>
                </c:pt>
                <c:pt idx="6">
                  <c:v>Социальная политика</c:v>
                </c:pt>
                <c:pt idx="7">
                  <c:v>Социальное обеспечение населения</c:v>
                </c:pt>
                <c:pt idx="8">
                  <c:v>Охрана семьи и детства</c:v>
                </c:pt>
                <c:pt idx="9">
                  <c:v>Физическая культура и спорт</c:v>
                </c:pt>
                <c:pt idx="10">
                  <c:v>Средства массовой информации</c:v>
                </c:pt>
              </c:strCache>
            </c:strRef>
          </c:cat>
          <c:val>
            <c:numRef>
              <c:f>'Задание 3'!$E$20:$E$30</c:f>
              <c:numCache>
                <c:formatCode>0.00</c:formatCode>
                <c:ptCount val="11"/>
                <c:pt idx="0">
                  <c:v>0.12785726468810693</c:v>
                </c:pt>
                <c:pt idx="1">
                  <c:v>6.4014235774653483E-2</c:v>
                </c:pt>
                <c:pt idx="2">
                  <c:v>0.17728000816750658</c:v>
                </c:pt>
                <c:pt idx="3">
                  <c:v>1.564898043971434E-4</c:v>
                </c:pt>
                <c:pt idx="4">
                  <c:v>0.42968122741075349</c:v>
                </c:pt>
                <c:pt idx="5">
                  <c:v>6.998040420946143E-2</c:v>
                </c:pt>
                <c:pt idx="6">
                  <c:v>3.5736870244524786E-2</c:v>
                </c:pt>
                <c:pt idx="7">
                  <c:v>1.4618367177352386E-2</c:v>
                </c:pt>
                <c:pt idx="8">
                  <c:v>1.9363218887446128E-2</c:v>
                </c:pt>
                <c:pt idx="9">
                  <c:v>6.1164573224458667E-2</c:v>
                </c:pt>
                <c:pt idx="10">
                  <c:v>1.4734041133908143E-4</c:v>
                </c:pt>
              </c:numCache>
            </c:numRef>
          </c:val>
          <c:extLst>
            <c:ext xmlns:c16="http://schemas.microsoft.com/office/drawing/2014/chart" uri="{C3380CC4-5D6E-409C-BE32-E72D297353CC}">
              <c16:uniqueId val="{00000000-B502-7044-BDE4-3F83098BC0CA}"/>
            </c:ext>
          </c:extLst>
        </c:ser>
        <c:ser>
          <c:idx val="1"/>
          <c:order val="1"/>
          <c:tx>
            <c:v>2020</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'Задание 3'!$A$20:$A$30</c:f>
              <c:strCache>
                <c:ptCount val="11"/>
                <c:pt idx="0">
                  <c:v>Общегосударственные вопросы</c:v>
                </c:pt>
                <c:pt idx="1">
                  <c:v>Национальная экономика</c:v>
                </c:pt>
                <c:pt idx="2">
                  <c:v>Жилищно-коммунальное хозяйство</c:v>
                </c:pt>
                <c:pt idx="3">
                  <c:v>Охрана окружающей среды</c:v>
                </c:pt>
                <c:pt idx="4">
                  <c:v>Образование</c:v>
                </c:pt>
                <c:pt idx="5">
                  <c:v>Культура, кинематография</c:v>
                </c:pt>
                <c:pt idx="6">
                  <c:v>Социальная политика</c:v>
                </c:pt>
                <c:pt idx="7">
                  <c:v>Социальное обеспечение населения</c:v>
                </c:pt>
                <c:pt idx="8">
                  <c:v>Охрана семьи и детства</c:v>
                </c:pt>
                <c:pt idx="9">
                  <c:v>Физическая культура и спорт</c:v>
                </c:pt>
                <c:pt idx="10">
                  <c:v>Средства массовой информации</c:v>
                </c:pt>
              </c:strCache>
            </c:strRef>
          </c:cat>
          <c:val>
            <c:numRef>
              <c:f>'Задание 3'!$G$20:$G$30</c:f>
              <c:numCache>
                <c:formatCode>0.00</c:formatCode>
                <c:ptCount val="11"/>
                <c:pt idx="0">
                  <c:v>9.3237683361664367E-2</c:v>
                </c:pt>
                <c:pt idx="1">
                  <c:v>4.4987348432750852E-2</c:v>
                </c:pt>
                <c:pt idx="2">
                  <c:v>0.13246727699389069</c:v>
                </c:pt>
                <c:pt idx="3">
                  <c:v>9.8161395070417174E-4</c:v>
                </c:pt>
                <c:pt idx="4">
                  <c:v>0.33224092227855073</c:v>
                </c:pt>
                <c:pt idx="5">
                  <c:v>4.3192778671675293E-2</c:v>
                </c:pt>
                <c:pt idx="6">
                  <c:v>1.5657514165693144E-2</c:v>
                </c:pt>
                <c:pt idx="7">
                  <c:v>3.3231141619275237E-3</c:v>
                </c:pt>
                <c:pt idx="8">
                  <c:v>1.0964598140807984E-2</c:v>
                </c:pt>
                <c:pt idx="9">
                  <c:v>0.32294714984233513</c:v>
                </c:pt>
                <c:pt idx="10">
                  <c:v>0</c:v>
                </c:pt>
              </c:numCache>
            </c:numRef>
          </c:val>
          <c:extLst>
            <c:ext xmlns:c16="http://schemas.microsoft.com/office/drawing/2014/chart" uri="{C3380CC4-5D6E-409C-BE32-E72D297353CC}">
              <c16:uniqueId val="{00000001-B502-7044-BDE4-3F83098BC0CA}"/>
            </c:ext>
          </c:extLst>
        </c:ser>
        <c:dLbls>
          <c:showLegendKey val="0"/>
          <c:showVal val="0"/>
          <c:showCatName val="0"/>
          <c:showSerName val="0"/>
          <c:showPercent val="0"/>
          <c:showBubbleSize val="0"/>
        </c:dLbls>
        <c:gapWidth val="182"/>
        <c:axId val="1157428799"/>
        <c:axId val="1683622287"/>
      </c:barChart>
      <c:catAx>
        <c:axId val="1157428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683622287"/>
        <c:crosses val="autoZero"/>
        <c:auto val="1"/>
        <c:lblAlgn val="ctr"/>
        <c:lblOffset val="100"/>
        <c:noMultiLvlLbl val="0"/>
      </c:catAx>
      <c:valAx>
        <c:axId val="168362228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574287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1187450</xdr:colOff>
      <xdr:row>19</xdr:row>
      <xdr:rowOff>609600</xdr:rowOff>
    </xdr:from>
    <xdr:to>
      <xdr:col>11</xdr:col>
      <xdr:colOff>165100</xdr:colOff>
      <xdr:row>27</xdr:row>
      <xdr:rowOff>406400</xdr:rowOff>
    </xdr:to>
    <xdr:graphicFrame macro="">
      <xdr:nvGraphicFramePr>
        <xdr:cNvPr id="5" name="Диаграмма 4">
          <a:extLst>
            <a:ext uri="{FF2B5EF4-FFF2-40B4-BE49-F238E27FC236}">
              <a16:creationId xmlns:a16="http://schemas.microsoft.com/office/drawing/2014/main" id="{52F0E5A0-A8C8-5E53-C29B-6077D8037F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374275</xdr:colOff>
      <xdr:row>12</xdr:row>
      <xdr:rowOff>105510</xdr:rowOff>
    </xdr:from>
    <xdr:to>
      <xdr:col>4</xdr:col>
      <xdr:colOff>314640</xdr:colOff>
      <xdr:row>31</xdr:row>
      <xdr:rowOff>164604</xdr:rowOff>
    </xdr:to>
    <xdr:graphicFrame macro="">
      <xdr:nvGraphicFramePr>
        <xdr:cNvPr id="2" name="Диаграмма 1">
          <a:extLst>
            <a:ext uri="{FF2B5EF4-FFF2-40B4-BE49-F238E27FC236}">
              <a16:creationId xmlns:a16="http://schemas.microsoft.com/office/drawing/2014/main" id="{6766BB40-D37C-6152-B6A0-2E05FC33A6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33</xdr:row>
      <xdr:rowOff>14112</xdr:rowOff>
    </xdr:from>
    <xdr:to>
      <xdr:col>2</xdr:col>
      <xdr:colOff>460500</xdr:colOff>
      <xdr:row>47</xdr:row>
      <xdr:rowOff>132796</xdr:rowOff>
    </xdr:to>
    <xdr:graphicFrame macro="">
      <xdr:nvGraphicFramePr>
        <xdr:cNvPr id="2" name="Диаграмма 1">
          <a:extLst>
            <a:ext uri="{FF2B5EF4-FFF2-40B4-BE49-F238E27FC236}">
              <a16:creationId xmlns:a16="http://schemas.microsoft.com/office/drawing/2014/main" id="{0C25733A-9207-9075-A419-C3ED166033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285640</xdr:colOff>
      <xdr:row>48</xdr:row>
      <xdr:rowOff>25758</xdr:rowOff>
    </xdr:from>
    <xdr:to>
      <xdr:col>2</xdr:col>
      <xdr:colOff>695341</xdr:colOff>
      <xdr:row>66</xdr:row>
      <xdr:rowOff>67374</xdr:rowOff>
    </xdr:to>
    <xdr:graphicFrame macro="">
      <xdr:nvGraphicFramePr>
        <xdr:cNvPr id="5" name="Диаграмма 4">
          <a:extLst>
            <a:ext uri="{FF2B5EF4-FFF2-40B4-BE49-F238E27FC236}">
              <a16:creationId xmlns:a16="http://schemas.microsoft.com/office/drawing/2014/main" id="{78E16DE3-4103-DA2C-090B-DC8B7D0646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615193</xdr:colOff>
      <xdr:row>15</xdr:row>
      <xdr:rowOff>93211</xdr:rowOff>
    </xdr:from>
    <xdr:to>
      <xdr:col>14</xdr:col>
      <xdr:colOff>456734</xdr:colOff>
      <xdr:row>51</xdr:row>
      <xdr:rowOff>11651</xdr:rowOff>
    </xdr:to>
    <xdr:graphicFrame macro="">
      <xdr:nvGraphicFramePr>
        <xdr:cNvPr id="19" name="Диаграмма 18">
          <a:extLst>
            <a:ext uri="{FF2B5EF4-FFF2-40B4-BE49-F238E27FC236}">
              <a16:creationId xmlns:a16="http://schemas.microsoft.com/office/drawing/2014/main" id="{B9225490-DC86-9FF9-09BE-6344089325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4"/>
  <sheetViews>
    <sheetView zoomScale="50" workbookViewId="0">
      <selection activeCell="A7" sqref="A7:A12"/>
    </sheetView>
  </sheetViews>
  <sheetFormatPr baseColWidth="10" defaultColWidth="8.83203125" defaultRowHeight="14"/>
  <cols>
    <col min="1" max="1" width="42.5" style="17" bestFit="1" customWidth="1"/>
    <col min="2" max="2" width="4.1640625" style="17" bestFit="1" customWidth="1"/>
    <col min="3" max="3" width="4" style="17" customWidth="1"/>
    <col min="4" max="4" width="5.1640625" style="17" bestFit="1" customWidth="1"/>
    <col min="5" max="5" width="19.1640625" style="17" customWidth="1"/>
    <col min="6" max="6" width="19.5" style="17" customWidth="1"/>
    <col min="7" max="9" width="18" style="17" bestFit="1" customWidth="1"/>
    <col min="10" max="11" width="11.5" style="17" bestFit="1" customWidth="1"/>
    <col min="12" max="12" width="17.5" style="17" bestFit="1" customWidth="1"/>
    <col min="13" max="13" width="16.83203125" style="17" bestFit="1" customWidth="1"/>
    <col min="14" max="17" width="17.83203125" style="17" bestFit="1" customWidth="1"/>
    <col min="18" max="16384" width="8.83203125" style="17"/>
  </cols>
  <sheetData>
    <row r="1" spans="1:18" ht="14.5" customHeight="1">
      <c r="A1" s="59" t="s">
        <v>0</v>
      </c>
      <c r="B1" s="59"/>
      <c r="C1" s="59"/>
      <c r="D1" s="59"/>
      <c r="E1" s="59"/>
      <c r="F1" s="59"/>
      <c r="G1" s="59"/>
      <c r="H1" s="59"/>
      <c r="I1" s="59"/>
      <c r="J1" s="59"/>
      <c r="K1" s="59"/>
      <c r="L1" s="59"/>
      <c r="M1" s="59"/>
      <c r="N1" s="59"/>
      <c r="O1" s="59"/>
      <c r="P1" s="59"/>
      <c r="Q1" s="59"/>
      <c r="R1" s="59"/>
    </row>
    <row r="2" spans="1:18">
      <c r="A2" s="59"/>
      <c r="B2" s="59"/>
      <c r="C2" s="59"/>
      <c r="D2" s="59"/>
      <c r="E2" s="59"/>
      <c r="F2" s="59"/>
      <c r="G2" s="59"/>
      <c r="H2" s="59"/>
      <c r="I2" s="59"/>
      <c r="J2" s="59"/>
      <c r="K2" s="59"/>
      <c r="L2" s="59"/>
      <c r="M2" s="59"/>
      <c r="N2" s="59"/>
      <c r="O2" s="59"/>
      <c r="P2" s="59"/>
      <c r="Q2" s="59"/>
      <c r="R2" s="59"/>
    </row>
    <row r="4" spans="1:18">
      <c r="A4" s="17" t="s">
        <v>1</v>
      </c>
      <c r="E4" s="17">
        <v>415</v>
      </c>
      <c r="F4" s="17" t="s">
        <v>2</v>
      </c>
    </row>
    <row r="5" spans="1:18">
      <c r="A5" s="17" t="s">
        <v>281</v>
      </c>
    </row>
    <row r="6" spans="1:18">
      <c r="A6" s="47" t="s">
        <v>284</v>
      </c>
      <c r="B6" s="39">
        <v>1</v>
      </c>
      <c r="C6" s="40">
        <v>2</v>
      </c>
      <c r="D6" s="40">
        <v>3</v>
      </c>
      <c r="E6" s="38">
        <v>2020</v>
      </c>
      <c r="F6" s="38">
        <v>2021</v>
      </c>
      <c r="G6" s="38">
        <v>2022</v>
      </c>
      <c r="H6" s="38">
        <v>2023</v>
      </c>
      <c r="I6" s="38">
        <v>2024</v>
      </c>
    </row>
    <row r="7" spans="1:18" ht="28">
      <c r="A7" s="48" t="s">
        <v>282</v>
      </c>
      <c r="B7" s="39" t="s">
        <v>6</v>
      </c>
      <c r="C7" s="40" t="s">
        <v>7</v>
      </c>
      <c r="D7" s="40" t="s">
        <v>283</v>
      </c>
      <c r="E7" s="42">
        <v>768800</v>
      </c>
      <c r="F7" s="43">
        <v>847100</v>
      </c>
      <c r="G7" s="43">
        <v>843500</v>
      </c>
      <c r="H7" s="44"/>
      <c r="I7" s="44"/>
      <c r="J7" s="45">
        <f>E7/1000</f>
        <v>768.8</v>
      </c>
      <c r="K7" s="45">
        <f t="shared" ref="K7:M7" si="0">F7/1000</f>
        <v>847.1</v>
      </c>
      <c r="L7" s="45">
        <f t="shared" si="0"/>
        <v>843.5</v>
      </c>
      <c r="M7" s="45">
        <f t="shared" si="0"/>
        <v>0</v>
      </c>
      <c r="N7" s="45">
        <f>I7/1000</f>
        <v>0</v>
      </c>
    </row>
    <row r="8" spans="1:18" ht="42">
      <c r="A8" s="49" t="s">
        <v>8</v>
      </c>
      <c r="B8" s="39" t="s">
        <v>6</v>
      </c>
      <c r="C8" s="40" t="s">
        <v>7</v>
      </c>
      <c r="D8" s="40" t="s">
        <v>9</v>
      </c>
      <c r="E8" s="45">
        <v>85245411800</v>
      </c>
      <c r="F8" s="45">
        <v>91999129800</v>
      </c>
      <c r="G8" s="45">
        <v>90196947900</v>
      </c>
      <c r="H8" s="45">
        <v>106046954300</v>
      </c>
      <c r="I8" s="45">
        <v>125520057000</v>
      </c>
      <c r="J8" s="45">
        <f t="shared" ref="J8:J12" si="1">E8/1000</f>
        <v>85245411.799999997</v>
      </c>
      <c r="K8" s="45">
        <f t="shared" ref="K8:K12" si="2">F8/1000</f>
        <v>91999129.799999997</v>
      </c>
      <c r="L8" s="45">
        <f t="shared" ref="L8:L12" si="3">G8/1000</f>
        <v>90196947.900000006</v>
      </c>
      <c r="M8" s="45">
        <f t="shared" ref="M8:M12" si="4">H8/1000</f>
        <v>106046954.3</v>
      </c>
      <c r="N8" s="45">
        <f t="shared" ref="N8:N12" si="5">I8/1000</f>
        <v>125520057</v>
      </c>
    </row>
    <row r="9" spans="1:18" ht="28">
      <c r="A9" s="49" t="s">
        <v>131</v>
      </c>
      <c r="B9" s="41" t="s">
        <v>6</v>
      </c>
      <c r="C9" s="40" t="s">
        <v>7</v>
      </c>
      <c r="D9" s="40" t="s">
        <v>132</v>
      </c>
      <c r="E9" s="45">
        <v>597118800</v>
      </c>
      <c r="F9" s="45">
        <v>361404000</v>
      </c>
      <c r="G9" s="45">
        <v>461404000</v>
      </c>
      <c r="H9" s="45">
        <v>1047938400</v>
      </c>
      <c r="I9" s="45">
        <v>902575900</v>
      </c>
      <c r="J9" s="45">
        <f t="shared" si="1"/>
        <v>597118.80000000005</v>
      </c>
      <c r="K9" s="45">
        <f t="shared" si="2"/>
        <v>361404</v>
      </c>
      <c r="L9" s="45">
        <f t="shared" si="3"/>
        <v>461404</v>
      </c>
      <c r="M9" s="45">
        <f t="shared" si="4"/>
        <v>1047938.4</v>
      </c>
      <c r="N9" s="45">
        <f t="shared" si="5"/>
        <v>902575.9</v>
      </c>
    </row>
    <row r="10" spans="1:18" ht="28">
      <c r="A10" s="49" t="s">
        <v>143</v>
      </c>
      <c r="B10" s="41" t="s">
        <v>6</v>
      </c>
      <c r="C10" s="40" t="s">
        <v>7</v>
      </c>
      <c r="D10" s="40" t="s">
        <v>144</v>
      </c>
      <c r="E10" s="45">
        <v>1304067900</v>
      </c>
      <c r="F10" s="45">
        <v>1327400200</v>
      </c>
      <c r="G10" s="45">
        <v>1415413100</v>
      </c>
      <c r="H10" s="45">
        <v>1535057000</v>
      </c>
      <c r="I10" s="45">
        <v>1865562700</v>
      </c>
      <c r="J10" s="45">
        <f t="shared" si="1"/>
        <v>1304067.8999999999</v>
      </c>
      <c r="K10" s="45">
        <f t="shared" si="2"/>
        <v>1327400.2</v>
      </c>
      <c r="L10" s="45">
        <f t="shared" si="3"/>
        <v>1415413.1</v>
      </c>
      <c r="M10" s="45">
        <f t="shared" si="4"/>
        <v>1535057</v>
      </c>
      <c r="N10" s="45">
        <f t="shared" si="5"/>
        <v>1865562.7</v>
      </c>
    </row>
    <row r="11" spans="1:18" ht="28">
      <c r="A11" s="49" t="s">
        <v>170</v>
      </c>
      <c r="B11" s="41" t="s">
        <v>6</v>
      </c>
      <c r="C11" s="40" t="s">
        <v>7</v>
      </c>
      <c r="D11" s="40" t="s">
        <v>171</v>
      </c>
      <c r="E11" s="45">
        <v>766080700</v>
      </c>
      <c r="F11" s="45">
        <v>879926500</v>
      </c>
      <c r="G11" s="45">
        <v>1171599700</v>
      </c>
      <c r="H11" s="45">
        <v>1049262700</v>
      </c>
      <c r="I11" s="45">
        <v>2104243200</v>
      </c>
      <c r="J11" s="45">
        <f t="shared" si="1"/>
        <v>766080.7</v>
      </c>
      <c r="K11" s="45">
        <f t="shared" si="2"/>
        <v>879926.5</v>
      </c>
      <c r="L11" s="45">
        <f t="shared" si="3"/>
        <v>1171599.7</v>
      </c>
      <c r="M11" s="45">
        <f t="shared" si="4"/>
        <v>1049262.7</v>
      </c>
      <c r="N11" s="45">
        <f t="shared" si="5"/>
        <v>2104243.2000000002</v>
      </c>
    </row>
    <row r="12" spans="1:18" ht="28">
      <c r="A12" s="49" t="s">
        <v>180</v>
      </c>
      <c r="B12" s="41" t="s">
        <v>6</v>
      </c>
      <c r="C12" s="40" t="s">
        <v>7</v>
      </c>
      <c r="D12" s="40" t="s">
        <v>181</v>
      </c>
      <c r="E12" s="45">
        <v>11379747900</v>
      </c>
      <c r="F12" s="45">
        <v>12461439100</v>
      </c>
      <c r="G12" s="45">
        <v>13894950400</v>
      </c>
      <c r="H12" s="45">
        <v>16660302800</v>
      </c>
      <c r="I12" s="45">
        <v>22637147200</v>
      </c>
      <c r="J12" s="45">
        <f t="shared" si="1"/>
        <v>11379747.9</v>
      </c>
      <c r="K12" s="45">
        <f t="shared" si="2"/>
        <v>12461439.1</v>
      </c>
      <c r="L12" s="45">
        <f t="shared" si="3"/>
        <v>13894950.4</v>
      </c>
      <c r="M12" s="45">
        <f t="shared" si="4"/>
        <v>16660302.800000001</v>
      </c>
      <c r="N12" s="45">
        <f t="shared" si="5"/>
        <v>22637147.199999999</v>
      </c>
    </row>
    <row r="13" spans="1:18">
      <c r="A13" s="60" t="s">
        <v>327</v>
      </c>
      <c r="B13" s="60"/>
      <c r="C13" s="60"/>
      <c r="D13" s="61"/>
      <c r="E13" s="46">
        <f t="shared" ref="E13:F13" si="6">SUM(E7:E12)</f>
        <v>99293195900</v>
      </c>
      <c r="F13" s="46">
        <f t="shared" si="6"/>
        <v>107030146700</v>
      </c>
      <c r="G13" s="46">
        <f>SUM(G7:G12)</f>
        <v>107141158600</v>
      </c>
      <c r="H13" s="46">
        <f>SUM(H7:H12)</f>
        <v>126339515200</v>
      </c>
      <c r="I13" s="46">
        <f>SUM(I7:I12)</f>
        <v>153029586000</v>
      </c>
    </row>
    <row r="14" spans="1:18">
      <c r="A14" s="70"/>
      <c r="B14" s="70"/>
      <c r="C14" s="70"/>
      <c r="D14" s="70"/>
      <c r="E14" s="71">
        <f>E13/1000</f>
        <v>99293195.900000006</v>
      </c>
      <c r="F14" s="71">
        <f t="shared" ref="F14:I14" si="7">F13/1000</f>
        <v>107030146.7</v>
      </c>
      <c r="G14" s="71">
        <f t="shared" si="7"/>
        <v>107141158.59999999</v>
      </c>
      <c r="H14" s="71">
        <f t="shared" si="7"/>
        <v>126339515.2</v>
      </c>
      <c r="I14" s="71">
        <f t="shared" si="7"/>
        <v>153029586</v>
      </c>
    </row>
    <row r="16" spans="1:18">
      <c r="A16" s="17" t="s">
        <v>309</v>
      </c>
      <c r="E16" s="69">
        <f>E17+E22+E24+E29+E31</f>
        <v>153031208700</v>
      </c>
    </row>
    <row r="17" spans="1:6" ht="42">
      <c r="A17" s="16" t="s">
        <v>8</v>
      </c>
      <c r="B17" s="16"/>
      <c r="C17" s="16"/>
      <c r="D17" s="16"/>
      <c r="E17" s="18">
        <f>SUM(E18:E21)</f>
        <v>125520057000</v>
      </c>
      <c r="F17" s="17">
        <f>E17/$E$16</f>
        <v>0.82022522115778074</v>
      </c>
    </row>
    <row r="18" spans="1:6" ht="42">
      <c r="A18" s="1" t="s">
        <v>13</v>
      </c>
      <c r="B18" s="5" t="s">
        <v>6</v>
      </c>
      <c r="C18" s="6" t="s">
        <v>7</v>
      </c>
      <c r="D18" s="3" t="s">
        <v>11</v>
      </c>
      <c r="E18" s="2">
        <v>5277366200</v>
      </c>
    </row>
    <row r="19" spans="1:6" ht="28">
      <c r="A19" s="1" t="s">
        <v>5</v>
      </c>
      <c r="B19" s="5" t="s">
        <v>6</v>
      </c>
      <c r="C19" s="6" t="s">
        <v>7</v>
      </c>
      <c r="D19" s="3" t="s">
        <v>11</v>
      </c>
      <c r="E19" s="2">
        <v>7607069800</v>
      </c>
    </row>
    <row r="20" spans="1:6" ht="56">
      <c r="A20" s="1" t="s">
        <v>69</v>
      </c>
      <c r="B20" s="5" t="s">
        <v>6</v>
      </c>
      <c r="C20" s="6" t="s">
        <v>7</v>
      </c>
      <c r="D20" s="3" t="s">
        <v>11</v>
      </c>
      <c r="E20" s="2">
        <v>112627980500</v>
      </c>
    </row>
    <row r="21" spans="1:6" ht="42">
      <c r="A21" s="1" t="s">
        <v>123</v>
      </c>
      <c r="B21" s="5" t="s">
        <v>6</v>
      </c>
      <c r="C21" s="6" t="s">
        <v>7</v>
      </c>
      <c r="D21" s="3" t="s">
        <v>11</v>
      </c>
      <c r="E21" s="2">
        <v>7640500</v>
      </c>
    </row>
    <row r="22" spans="1:6" ht="28">
      <c r="A22" s="16" t="s">
        <v>131</v>
      </c>
      <c r="B22" s="16"/>
      <c r="C22" s="16"/>
      <c r="D22" s="1"/>
      <c r="E22" s="18">
        <f>SUM(E23)</f>
        <v>902575900</v>
      </c>
      <c r="F22" s="17">
        <f>E22/$E$16</f>
        <v>5.8979858269916415E-3</v>
      </c>
    </row>
    <row r="23" spans="1:6" ht="28">
      <c r="A23" s="1" t="s">
        <v>133</v>
      </c>
      <c r="B23" s="5" t="s">
        <v>6</v>
      </c>
      <c r="C23" s="6" t="s">
        <v>7</v>
      </c>
      <c r="D23" s="3" t="s">
        <v>134</v>
      </c>
      <c r="E23" s="2">
        <v>902575900</v>
      </c>
    </row>
    <row r="24" spans="1:6" ht="28">
      <c r="A24" s="16" t="s">
        <v>143</v>
      </c>
      <c r="B24" s="16"/>
      <c r="C24" s="16"/>
      <c r="D24" s="1"/>
      <c r="E24" s="18">
        <f>SUM(E25:E28)</f>
        <v>1867185400</v>
      </c>
      <c r="F24" s="17">
        <f>E24/$E$16</f>
        <v>1.2201337334140784E-2</v>
      </c>
    </row>
    <row r="25" spans="1:6" ht="42">
      <c r="A25" s="1" t="s">
        <v>145</v>
      </c>
      <c r="B25" s="5" t="s">
        <v>6</v>
      </c>
      <c r="C25" s="6" t="s">
        <v>7</v>
      </c>
      <c r="D25" s="3" t="s">
        <v>146</v>
      </c>
      <c r="E25" s="2">
        <v>2865800</v>
      </c>
    </row>
    <row r="26" spans="1:6" ht="56">
      <c r="A26" s="1" t="s">
        <v>69</v>
      </c>
      <c r="B26" s="5" t="s">
        <v>6</v>
      </c>
      <c r="C26" s="6" t="s">
        <v>7</v>
      </c>
      <c r="D26" s="3" t="s">
        <v>146</v>
      </c>
      <c r="E26" s="2">
        <v>1622700</v>
      </c>
    </row>
    <row r="27" spans="1:6" ht="28">
      <c r="A27" s="1" t="s">
        <v>149</v>
      </c>
      <c r="B27" s="5" t="s">
        <v>6</v>
      </c>
      <c r="C27" s="6" t="s">
        <v>7</v>
      </c>
      <c r="D27" s="3" t="s">
        <v>150</v>
      </c>
      <c r="E27" s="2">
        <v>1573631600</v>
      </c>
    </row>
    <row r="28" spans="1:6" ht="42">
      <c r="A28" s="1" t="s">
        <v>168</v>
      </c>
      <c r="B28" s="5" t="s">
        <v>6</v>
      </c>
      <c r="C28" s="6" t="s">
        <v>7</v>
      </c>
      <c r="D28" s="3" t="s">
        <v>169</v>
      </c>
      <c r="E28" s="2">
        <v>289065300</v>
      </c>
    </row>
    <row r="29" spans="1:6" ht="28">
      <c r="A29" s="16" t="s">
        <v>170</v>
      </c>
      <c r="B29" s="16"/>
      <c r="C29" s="16"/>
      <c r="D29" s="1"/>
      <c r="E29" s="18">
        <f>SUM(E30)</f>
        <v>2104243200</v>
      </c>
      <c r="F29" s="17">
        <f>E29/$E$16</f>
        <v>1.3750418740566348E-2</v>
      </c>
    </row>
    <row r="30" spans="1:6" ht="28">
      <c r="A30" s="1" t="s">
        <v>172</v>
      </c>
      <c r="B30" s="5" t="s">
        <v>6</v>
      </c>
      <c r="C30" s="6" t="s">
        <v>7</v>
      </c>
      <c r="D30" s="3" t="s">
        <v>173</v>
      </c>
      <c r="E30" s="2">
        <v>2104243200</v>
      </c>
    </row>
    <row r="31" spans="1:6" ht="28">
      <c r="A31" s="1" t="s">
        <v>180</v>
      </c>
      <c r="B31" s="1"/>
      <c r="C31" s="1"/>
      <c r="D31" s="1"/>
      <c r="E31" s="18">
        <f>SUM(E32:E41)</f>
        <v>22637147200</v>
      </c>
      <c r="F31" s="17">
        <f>E31/$E$16</f>
        <v>0.14792503694052048</v>
      </c>
    </row>
    <row r="32" spans="1:6" ht="28">
      <c r="A32" s="1" t="s">
        <v>182</v>
      </c>
      <c r="B32" s="5" t="s">
        <v>6</v>
      </c>
      <c r="C32" s="6" t="s">
        <v>7</v>
      </c>
      <c r="D32" s="3" t="s">
        <v>183</v>
      </c>
      <c r="E32" s="2">
        <v>21440382200</v>
      </c>
    </row>
    <row r="33" spans="1:5" ht="28">
      <c r="A33" s="1" t="s">
        <v>192</v>
      </c>
      <c r="B33" s="5" t="s">
        <v>6</v>
      </c>
      <c r="C33" s="6" t="s">
        <v>7</v>
      </c>
      <c r="D33" s="3" t="s">
        <v>193</v>
      </c>
      <c r="E33" s="2">
        <v>1189773300</v>
      </c>
    </row>
    <row r="34" spans="1:5" ht="28">
      <c r="A34" s="1" t="s">
        <v>267</v>
      </c>
      <c r="B34" s="5" t="s">
        <v>6</v>
      </c>
      <c r="C34" s="6" t="s">
        <v>7</v>
      </c>
      <c r="D34" s="3" t="s">
        <v>268</v>
      </c>
      <c r="E34" s="2">
        <v>6991700</v>
      </c>
    </row>
  </sheetData>
  <mergeCells count="2">
    <mergeCell ref="A1:R2"/>
    <mergeCell ref="A13:D13"/>
  </mergeCells>
  <conditionalFormatting sqref="E17">
    <cfRule type="expression" dxfId="7" priority="7">
      <formula>$E$17=$I$8</formula>
    </cfRule>
    <cfRule type="expression" dxfId="6" priority="8">
      <formula>$E$17=$H$8</formula>
    </cfRule>
  </conditionalFormatting>
  <conditionalFormatting sqref="E22">
    <cfRule type="expression" dxfId="5" priority="6">
      <formula>$E$22=$I$9</formula>
    </cfRule>
  </conditionalFormatting>
  <conditionalFormatting sqref="E29">
    <cfRule type="expression" dxfId="3" priority="4">
      <formula>$E$29=$I$11</formula>
    </cfRule>
  </conditionalFormatting>
  <conditionalFormatting sqref="E31">
    <cfRule type="expression" dxfId="1" priority="2">
      <formula>$E$29=$I$11</formula>
    </cfRule>
  </conditionalFormatting>
  <conditionalFormatting sqref="E24">
    <cfRule type="expression" dxfId="0" priority="1">
      <formula>$E$22=$I$9</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F794C-DA01-4421-8146-3CB11514559C}">
  <dimension ref="A1:O196"/>
  <sheetViews>
    <sheetView workbookViewId="0">
      <selection activeCell="K3" sqref="K3"/>
    </sheetView>
  </sheetViews>
  <sheetFormatPr baseColWidth="10" defaultColWidth="8.83203125" defaultRowHeight="15"/>
  <cols>
    <col min="1" max="1" width="41.5" style="7" customWidth="1"/>
    <col min="2" max="3" width="4" style="7" bestFit="1" customWidth="1"/>
    <col min="4" max="4" width="5" bestFit="1" customWidth="1"/>
    <col min="5" max="5" width="11.6640625" bestFit="1" customWidth="1"/>
    <col min="6" max="6" width="4" bestFit="1" customWidth="1"/>
    <col min="7" max="8" width="17.5" bestFit="1" customWidth="1"/>
    <col min="9" max="9" width="13.83203125" bestFit="1" customWidth="1"/>
    <col min="10" max="10" width="17.5" bestFit="1" customWidth="1"/>
    <col min="11" max="11" width="18.1640625" bestFit="1" customWidth="1"/>
  </cols>
  <sheetData>
    <row r="1" spans="1:15" ht="13.5" customHeight="1">
      <c r="A1" s="8">
        <v>1</v>
      </c>
      <c r="B1" s="14">
        <v>2</v>
      </c>
      <c r="C1" s="62">
        <v>3</v>
      </c>
      <c r="D1" s="63"/>
      <c r="E1" s="63"/>
      <c r="F1" s="64"/>
      <c r="G1" s="8">
        <v>4</v>
      </c>
      <c r="H1" s="8">
        <v>5</v>
      </c>
      <c r="I1" s="8">
        <v>6</v>
      </c>
      <c r="O1" s="9"/>
    </row>
    <row r="2" spans="1:15" ht="28">
      <c r="A2" s="10" t="s">
        <v>3</v>
      </c>
      <c r="B2" s="11" t="s">
        <v>6</v>
      </c>
      <c r="C2" s="6" t="s">
        <v>7</v>
      </c>
      <c r="D2" s="3"/>
      <c r="E2" s="3"/>
      <c r="F2" s="3"/>
      <c r="G2" s="12">
        <v>153029586000</v>
      </c>
      <c r="H2" s="12">
        <v>152655873079.64001</v>
      </c>
      <c r="I2" s="13">
        <v>373712920.35998535</v>
      </c>
      <c r="J2" s="15"/>
    </row>
    <row r="3" spans="1:15" ht="42">
      <c r="A3" s="1" t="s">
        <v>8</v>
      </c>
      <c r="B3" s="5" t="s">
        <v>6</v>
      </c>
      <c r="C3" s="6" t="s">
        <v>7</v>
      </c>
      <c r="D3" s="3" t="s">
        <v>9</v>
      </c>
      <c r="E3" s="3"/>
      <c r="F3" s="3"/>
      <c r="G3" s="2">
        <v>125520057000</v>
      </c>
      <c r="H3" s="2">
        <v>125436294199.2</v>
      </c>
      <c r="I3" s="4">
        <v>83762800.800003052</v>
      </c>
      <c r="J3" s="15"/>
      <c r="K3" s="15"/>
    </row>
    <row r="4" spans="1:15" ht="28">
      <c r="A4" s="1" t="s">
        <v>10</v>
      </c>
      <c r="B4" s="5" t="s">
        <v>6</v>
      </c>
      <c r="C4" s="6" t="s">
        <v>7</v>
      </c>
      <c r="D4" s="3" t="s">
        <v>11</v>
      </c>
      <c r="E4" s="3"/>
      <c r="F4" s="3"/>
      <c r="G4" s="2">
        <v>125520057000</v>
      </c>
      <c r="H4" s="2">
        <v>125436294199.2</v>
      </c>
      <c r="I4" s="4">
        <v>83762800.800003052</v>
      </c>
    </row>
    <row r="5" spans="1:15" ht="42">
      <c r="A5" s="1" t="s">
        <v>4</v>
      </c>
      <c r="B5" s="5" t="s">
        <v>6</v>
      </c>
      <c r="C5" s="6" t="s">
        <v>7</v>
      </c>
      <c r="D5" s="3" t="s">
        <v>11</v>
      </c>
      <c r="E5" s="3" t="s">
        <v>12</v>
      </c>
      <c r="F5" s="3"/>
      <c r="G5" s="2">
        <v>5277366200</v>
      </c>
      <c r="H5" s="2">
        <v>5277366155.2399998</v>
      </c>
      <c r="I5" s="4">
        <v>44.760000228881836</v>
      </c>
    </row>
    <row r="6" spans="1:15" ht="42">
      <c r="A6" s="50" t="s">
        <v>13</v>
      </c>
      <c r="B6" s="51" t="s">
        <v>6</v>
      </c>
      <c r="C6" s="52" t="s">
        <v>7</v>
      </c>
      <c r="D6" s="53" t="s">
        <v>11</v>
      </c>
      <c r="E6" s="53" t="s">
        <v>14</v>
      </c>
      <c r="F6" s="53"/>
      <c r="G6" s="54">
        <v>5277366200</v>
      </c>
      <c r="H6" s="54">
        <v>5277366155.2399998</v>
      </c>
      <c r="I6" s="55">
        <v>44.760000228881836</v>
      </c>
    </row>
    <row r="7" spans="1:15" ht="70">
      <c r="A7" s="1" t="s">
        <v>15</v>
      </c>
      <c r="B7" s="5" t="s">
        <v>6</v>
      </c>
      <c r="C7" s="6" t="s">
        <v>7</v>
      </c>
      <c r="D7" s="3" t="s">
        <v>11</v>
      </c>
      <c r="E7" s="3" t="s">
        <v>16</v>
      </c>
      <c r="F7" s="3" t="s">
        <v>6</v>
      </c>
      <c r="G7" s="2">
        <v>5277366200</v>
      </c>
      <c r="H7" s="2">
        <v>5277366155.2399998</v>
      </c>
      <c r="I7" s="4">
        <v>44.760000228881836</v>
      </c>
    </row>
    <row r="8" spans="1:15" ht="98">
      <c r="A8" s="1" t="s">
        <v>17</v>
      </c>
      <c r="B8" s="5" t="s">
        <v>6</v>
      </c>
      <c r="C8" s="6" t="s">
        <v>7</v>
      </c>
      <c r="D8" s="3" t="s">
        <v>11</v>
      </c>
      <c r="E8" s="3" t="s">
        <v>18</v>
      </c>
      <c r="F8" s="3" t="s">
        <v>19</v>
      </c>
      <c r="G8" s="2"/>
      <c r="H8" s="2">
        <v>5127366155.2399998</v>
      </c>
      <c r="I8" s="4" t="s">
        <v>20</v>
      </c>
    </row>
    <row r="9" spans="1:15" ht="112">
      <c r="A9" s="1" t="s">
        <v>21</v>
      </c>
      <c r="B9" s="5" t="s">
        <v>6</v>
      </c>
      <c r="C9" s="6" t="s">
        <v>7</v>
      </c>
      <c r="D9" s="3" t="s">
        <v>11</v>
      </c>
      <c r="E9" s="3" t="s">
        <v>18</v>
      </c>
      <c r="F9" s="3" t="s">
        <v>22</v>
      </c>
      <c r="G9" s="2"/>
      <c r="H9" s="2">
        <v>150000000</v>
      </c>
      <c r="I9" s="4" t="s">
        <v>20</v>
      </c>
    </row>
    <row r="10" spans="1:15" ht="28">
      <c r="A10" s="1" t="s">
        <v>23</v>
      </c>
      <c r="B10" s="5" t="s">
        <v>6</v>
      </c>
      <c r="C10" s="6" t="s">
        <v>7</v>
      </c>
      <c r="D10" s="3" t="s">
        <v>11</v>
      </c>
      <c r="E10" s="3" t="s">
        <v>24</v>
      </c>
      <c r="F10" s="3"/>
      <c r="G10" s="2">
        <v>120235050300</v>
      </c>
      <c r="H10" s="2">
        <v>120151287649.8</v>
      </c>
      <c r="I10" s="4">
        <v>83762650.199996948</v>
      </c>
    </row>
    <row r="11" spans="1:15" ht="42">
      <c r="A11" s="1" t="s">
        <v>5</v>
      </c>
      <c r="B11" s="5" t="s">
        <v>6</v>
      </c>
      <c r="C11" s="6" t="s">
        <v>7</v>
      </c>
      <c r="D11" s="3" t="s">
        <v>11</v>
      </c>
      <c r="E11" s="3" t="s">
        <v>25</v>
      </c>
      <c r="F11" s="3"/>
      <c r="G11" s="2">
        <v>7607069800</v>
      </c>
      <c r="H11" s="2">
        <v>7599801969.6199999</v>
      </c>
      <c r="I11" s="4">
        <v>7267830.3800001144</v>
      </c>
    </row>
    <row r="12" spans="1:15" ht="112">
      <c r="A12" s="1" t="s">
        <v>26</v>
      </c>
      <c r="B12" s="5" t="s">
        <v>6</v>
      </c>
      <c r="C12" s="6" t="s">
        <v>7</v>
      </c>
      <c r="D12" s="3" t="s">
        <v>11</v>
      </c>
      <c r="E12" s="3" t="s">
        <v>27</v>
      </c>
      <c r="F12" s="3" t="s">
        <v>28</v>
      </c>
      <c r="G12" s="2">
        <v>7397143600</v>
      </c>
      <c r="H12" s="2">
        <v>7390861132.1999998</v>
      </c>
      <c r="I12" s="4">
        <v>6282467.8000001907</v>
      </c>
    </row>
    <row r="13" spans="1:15" ht="98">
      <c r="A13" s="1" t="s">
        <v>29</v>
      </c>
      <c r="B13" s="5" t="s">
        <v>6</v>
      </c>
      <c r="C13" s="6" t="s">
        <v>7</v>
      </c>
      <c r="D13" s="3" t="s">
        <v>11</v>
      </c>
      <c r="E13" s="3" t="s">
        <v>30</v>
      </c>
      <c r="F13" s="3" t="s">
        <v>31</v>
      </c>
      <c r="G13" s="2"/>
      <c r="H13" s="2">
        <v>922528600</v>
      </c>
      <c r="I13" s="4" t="s">
        <v>20</v>
      </c>
    </row>
    <row r="14" spans="1:15" ht="112">
      <c r="A14" s="1" t="s">
        <v>32</v>
      </c>
      <c r="B14" s="5" t="s">
        <v>6</v>
      </c>
      <c r="C14" s="6" t="s">
        <v>7</v>
      </c>
      <c r="D14" s="3" t="s">
        <v>11</v>
      </c>
      <c r="E14" s="3" t="s">
        <v>30</v>
      </c>
      <c r="F14" s="3" t="s">
        <v>33</v>
      </c>
      <c r="G14" s="2"/>
      <c r="H14" s="2">
        <v>12729200</v>
      </c>
      <c r="I14" s="4" t="s">
        <v>20</v>
      </c>
    </row>
    <row r="15" spans="1:15" ht="126">
      <c r="A15" s="1" t="s">
        <v>34</v>
      </c>
      <c r="B15" s="5" t="s">
        <v>6</v>
      </c>
      <c r="C15" s="6" t="s">
        <v>7</v>
      </c>
      <c r="D15" s="3" t="s">
        <v>11</v>
      </c>
      <c r="E15" s="3" t="s">
        <v>30</v>
      </c>
      <c r="F15" s="3" t="s">
        <v>35</v>
      </c>
      <c r="G15" s="2"/>
      <c r="H15" s="2">
        <v>276023443.30000001</v>
      </c>
      <c r="I15" s="4" t="s">
        <v>20</v>
      </c>
    </row>
    <row r="16" spans="1:15" ht="112">
      <c r="A16" s="1" t="s">
        <v>36</v>
      </c>
      <c r="B16" s="5" t="s">
        <v>6</v>
      </c>
      <c r="C16" s="6" t="s">
        <v>7</v>
      </c>
      <c r="D16" s="3" t="s">
        <v>11</v>
      </c>
      <c r="E16" s="3" t="s">
        <v>30</v>
      </c>
      <c r="F16" s="3" t="s">
        <v>37</v>
      </c>
      <c r="G16" s="2"/>
      <c r="H16" s="2">
        <v>5550528800</v>
      </c>
      <c r="I16" s="4" t="s">
        <v>20</v>
      </c>
    </row>
    <row r="17" spans="1:9" ht="112">
      <c r="A17" s="1" t="s">
        <v>38</v>
      </c>
      <c r="B17" s="5" t="s">
        <v>6</v>
      </c>
      <c r="C17" s="6" t="s">
        <v>7</v>
      </c>
      <c r="D17" s="3" t="s">
        <v>11</v>
      </c>
      <c r="E17" s="3" t="s">
        <v>30</v>
      </c>
      <c r="F17" s="3" t="s">
        <v>39</v>
      </c>
      <c r="G17" s="2"/>
      <c r="H17" s="2">
        <v>460581600</v>
      </c>
      <c r="I17" s="4" t="s">
        <v>20</v>
      </c>
    </row>
    <row r="18" spans="1:9" ht="112">
      <c r="A18" s="1" t="s">
        <v>40</v>
      </c>
      <c r="B18" s="5" t="s">
        <v>6</v>
      </c>
      <c r="C18" s="6" t="s">
        <v>7</v>
      </c>
      <c r="D18" s="3" t="s">
        <v>11</v>
      </c>
      <c r="E18" s="3" t="s">
        <v>30</v>
      </c>
      <c r="F18" s="3" t="s">
        <v>41</v>
      </c>
      <c r="G18" s="2"/>
      <c r="H18" s="2">
        <v>8828983.1199999992</v>
      </c>
      <c r="I18" s="4" t="s">
        <v>20</v>
      </c>
    </row>
    <row r="19" spans="1:9" ht="98">
      <c r="A19" s="1" t="s">
        <v>42</v>
      </c>
      <c r="B19" s="5" t="s">
        <v>6</v>
      </c>
      <c r="C19" s="6" t="s">
        <v>7</v>
      </c>
      <c r="D19" s="3" t="s">
        <v>11</v>
      </c>
      <c r="E19" s="3" t="s">
        <v>43</v>
      </c>
      <c r="F19" s="3" t="s">
        <v>44</v>
      </c>
      <c r="G19" s="2"/>
      <c r="H19" s="2">
        <v>39386800</v>
      </c>
      <c r="I19" s="4" t="s">
        <v>20</v>
      </c>
    </row>
    <row r="20" spans="1:9" ht="126">
      <c r="A20" s="1" t="s">
        <v>45</v>
      </c>
      <c r="B20" s="5" t="s">
        <v>6</v>
      </c>
      <c r="C20" s="6" t="s">
        <v>7</v>
      </c>
      <c r="D20" s="3" t="s">
        <v>11</v>
      </c>
      <c r="E20" s="3" t="s">
        <v>46</v>
      </c>
      <c r="F20" s="3" t="s">
        <v>33</v>
      </c>
      <c r="G20" s="2"/>
      <c r="H20" s="2">
        <v>1062838.24</v>
      </c>
      <c r="I20" s="4" t="s">
        <v>20</v>
      </c>
    </row>
    <row r="21" spans="1:9" ht="56">
      <c r="A21" s="1" t="s">
        <v>47</v>
      </c>
      <c r="B21" s="5" t="s">
        <v>6</v>
      </c>
      <c r="C21" s="6" t="s">
        <v>7</v>
      </c>
      <c r="D21" s="3" t="s">
        <v>11</v>
      </c>
      <c r="E21" s="3" t="s">
        <v>48</v>
      </c>
      <c r="F21" s="3" t="s">
        <v>39</v>
      </c>
      <c r="G21" s="2"/>
      <c r="H21" s="2">
        <v>86187500</v>
      </c>
      <c r="I21" s="4" t="s">
        <v>20</v>
      </c>
    </row>
    <row r="22" spans="1:9" ht="98">
      <c r="A22" s="1" t="s">
        <v>49</v>
      </c>
      <c r="B22" s="5" t="s">
        <v>6</v>
      </c>
      <c r="C22" s="6" t="s">
        <v>7</v>
      </c>
      <c r="D22" s="3" t="s">
        <v>11</v>
      </c>
      <c r="E22" s="3" t="s">
        <v>50</v>
      </c>
      <c r="F22" s="3" t="s">
        <v>44</v>
      </c>
      <c r="G22" s="2"/>
      <c r="H22" s="2">
        <v>33003367.539999999</v>
      </c>
      <c r="I22" s="4" t="s">
        <v>20</v>
      </c>
    </row>
    <row r="23" spans="1:9" ht="84">
      <c r="A23" s="1" t="s">
        <v>51</v>
      </c>
      <c r="B23" s="5" t="s">
        <v>6</v>
      </c>
      <c r="C23" s="6" t="s">
        <v>7</v>
      </c>
      <c r="D23" s="3" t="s">
        <v>11</v>
      </c>
      <c r="E23" s="3" t="s">
        <v>27</v>
      </c>
      <c r="F23" s="3" t="s">
        <v>6</v>
      </c>
      <c r="G23" s="2">
        <v>208831600</v>
      </c>
      <c r="H23" s="2">
        <v>207846311.66999999</v>
      </c>
      <c r="I23" s="4">
        <v>985288.33000001311</v>
      </c>
    </row>
    <row r="24" spans="1:9" ht="112">
      <c r="A24" s="1" t="s">
        <v>52</v>
      </c>
      <c r="B24" s="5" t="s">
        <v>6</v>
      </c>
      <c r="C24" s="6" t="s">
        <v>7</v>
      </c>
      <c r="D24" s="3" t="s">
        <v>11</v>
      </c>
      <c r="E24" s="3" t="s">
        <v>30</v>
      </c>
      <c r="F24" s="3" t="s">
        <v>19</v>
      </c>
      <c r="G24" s="2"/>
      <c r="H24" s="2">
        <v>64530389.240000002</v>
      </c>
      <c r="I24" s="4" t="s">
        <v>20</v>
      </c>
    </row>
    <row r="25" spans="1:9" ht="98">
      <c r="A25" s="1" t="s">
        <v>53</v>
      </c>
      <c r="B25" s="5" t="s">
        <v>6</v>
      </c>
      <c r="C25" s="6" t="s">
        <v>7</v>
      </c>
      <c r="D25" s="3" t="s">
        <v>11</v>
      </c>
      <c r="E25" s="3" t="s">
        <v>30</v>
      </c>
      <c r="F25" s="3" t="s">
        <v>54</v>
      </c>
      <c r="G25" s="2"/>
      <c r="H25" s="2">
        <v>116670964.84</v>
      </c>
      <c r="I25" s="4" t="s">
        <v>20</v>
      </c>
    </row>
    <row r="26" spans="1:9" ht="70">
      <c r="A26" s="1" t="s">
        <v>55</v>
      </c>
      <c r="B26" s="5" t="s">
        <v>6</v>
      </c>
      <c r="C26" s="6" t="s">
        <v>7</v>
      </c>
      <c r="D26" s="3" t="s">
        <v>11</v>
      </c>
      <c r="E26" s="3" t="s">
        <v>56</v>
      </c>
      <c r="F26" s="3" t="s">
        <v>54</v>
      </c>
      <c r="G26" s="2"/>
      <c r="H26" s="2">
        <v>944233.29</v>
      </c>
      <c r="I26" s="4" t="s">
        <v>20</v>
      </c>
    </row>
    <row r="27" spans="1:9" ht="70">
      <c r="A27" s="1" t="s">
        <v>57</v>
      </c>
      <c r="B27" s="5" t="s">
        <v>6</v>
      </c>
      <c r="C27" s="6" t="s">
        <v>7</v>
      </c>
      <c r="D27" s="3" t="s">
        <v>11</v>
      </c>
      <c r="E27" s="3" t="s">
        <v>56</v>
      </c>
      <c r="F27" s="3" t="s">
        <v>58</v>
      </c>
      <c r="G27" s="2"/>
      <c r="H27" s="2">
        <v>485916.92</v>
      </c>
      <c r="I27" s="4" t="s">
        <v>20</v>
      </c>
    </row>
    <row r="28" spans="1:9" ht="182">
      <c r="A28" s="1" t="s">
        <v>59</v>
      </c>
      <c r="B28" s="5" t="s">
        <v>6</v>
      </c>
      <c r="C28" s="6" t="s">
        <v>7</v>
      </c>
      <c r="D28" s="3" t="s">
        <v>11</v>
      </c>
      <c r="E28" s="3" t="s">
        <v>60</v>
      </c>
      <c r="F28" s="3" t="s">
        <v>54</v>
      </c>
      <c r="G28" s="2"/>
      <c r="H28" s="2">
        <v>25214807.379999999</v>
      </c>
      <c r="I28" s="4" t="s">
        <v>20</v>
      </c>
    </row>
    <row r="29" spans="1:9" ht="70">
      <c r="A29" s="1" t="s">
        <v>61</v>
      </c>
      <c r="B29" s="5" t="s">
        <v>6</v>
      </c>
      <c r="C29" s="6" t="s">
        <v>7</v>
      </c>
      <c r="D29" s="3" t="s">
        <v>11</v>
      </c>
      <c r="E29" s="3" t="s">
        <v>27</v>
      </c>
      <c r="F29" s="3" t="s">
        <v>62</v>
      </c>
      <c r="G29" s="2">
        <v>760300</v>
      </c>
      <c r="H29" s="2">
        <v>760292.35</v>
      </c>
      <c r="I29" s="4">
        <v>7.6500000000232831</v>
      </c>
    </row>
    <row r="30" spans="1:9" ht="112">
      <c r="A30" s="1" t="s">
        <v>63</v>
      </c>
      <c r="B30" s="5" t="s">
        <v>6</v>
      </c>
      <c r="C30" s="6" t="s">
        <v>7</v>
      </c>
      <c r="D30" s="3" t="s">
        <v>11</v>
      </c>
      <c r="E30" s="3" t="s">
        <v>30</v>
      </c>
      <c r="F30" s="3" t="s">
        <v>64</v>
      </c>
      <c r="G30" s="2"/>
      <c r="H30" s="2">
        <v>760292.35</v>
      </c>
      <c r="I30" s="4" t="s">
        <v>20</v>
      </c>
    </row>
    <row r="31" spans="1:9" ht="56">
      <c r="A31" s="1" t="s">
        <v>65</v>
      </c>
      <c r="B31" s="5" t="s">
        <v>6</v>
      </c>
      <c r="C31" s="6" t="s">
        <v>7</v>
      </c>
      <c r="D31" s="3" t="s">
        <v>11</v>
      </c>
      <c r="E31" s="3" t="s">
        <v>27</v>
      </c>
      <c r="F31" s="3" t="s">
        <v>66</v>
      </c>
      <c r="G31" s="2">
        <v>334300</v>
      </c>
      <c r="H31" s="2">
        <v>334233.40000000002</v>
      </c>
      <c r="I31" s="4">
        <v>66.599999999976717</v>
      </c>
    </row>
    <row r="32" spans="1:9" ht="112">
      <c r="A32" s="1" t="s">
        <v>67</v>
      </c>
      <c r="B32" s="5" t="s">
        <v>6</v>
      </c>
      <c r="C32" s="6" t="s">
        <v>7</v>
      </c>
      <c r="D32" s="3" t="s">
        <v>11</v>
      </c>
      <c r="E32" s="3" t="s">
        <v>30</v>
      </c>
      <c r="F32" s="3" t="s">
        <v>68</v>
      </c>
      <c r="G32" s="2"/>
      <c r="H32" s="2">
        <v>334233.40000000002</v>
      </c>
      <c r="I32" s="4" t="s">
        <v>20</v>
      </c>
    </row>
    <row r="33" spans="1:9" ht="56">
      <c r="A33" s="1" t="s">
        <v>69</v>
      </c>
      <c r="B33" s="5" t="s">
        <v>6</v>
      </c>
      <c r="C33" s="6" t="s">
        <v>7</v>
      </c>
      <c r="D33" s="3" t="s">
        <v>11</v>
      </c>
      <c r="E33" s="3" t="s">
        <v>70</v>
      </c>
      <c r="F33" s="3"/>
      <c r="G33" s="2">
        <v>112627980500</v>
      </c>
      <c r="H33" s="2">
        <v>112551485680.17999</v>
      </c>
      <c r="I33" s="4">
        <v>76494819.820007324</v>
      </c>
    </row>
    <row r="34" spans="1:9" ht="112">
      <c r="A34" s="1" t="s">
        <v>26</v>
      </c>
      <c r="B34" s="5" t="s">
        <v>6</v>
      </c>
      <c r="C34" s="6" t="s">
        <v>7</v>
      </c>
      <c r="D34" s="3" t="s">
        <v>11</v>
      </c>
      <c r="E34" s="3" t="s">
        <v>71</v>
      </c>
      <c r="F34" s="3" t="s">
        <v>28</v>
      </c>
      <c r="G34" s="2">
        <v>94868813700</v>
      </c>
      <c r="H34" s="2">
        <v>94830243187.130005</v>
      </c>
      <c r="I34" s="4">
        <v>38570512.869995117</v>
      </c>
    </row>
    <row r="35" spans="1:9" ht="56">
      <c r="A35" s="1" t="s">
        <v>72</v>
      </c>
      <c r="B35" s="5" t="s">
        <v>6</v>
      </c>
      <c r="C35" s="6" t="s">
        <v>7</v>
      </c>
      <c r="D35" s="3" t="s">
        <v>11</v>
      </c>
      <c r="E35" s="3" t="s">
        <v>73</v>
      </c>
      <c r="F35" s="3" t="s">
        <v>31</v>
      </c>
      <c r="G35" s="2"/>
      <c r="H35" s="2">
        <v>1459917000</v>
      </c>
      <c r="I35" s="4" t="s">
        <v>20</v>
      </c>
    </row>
    <row r="36" spans="1:9" ht="84">
      <c r="A36" s="1" t="s">
        <v>74</v>
      </c>
      <c r="B36" s="5" t="s">
        <v>6</v>
      </c>
      <c r="C36" s="6" t="s">
        <v>7</v>
      </c>
      <c r="D36" s="3" t="s">
        <v>11</v>
      </c>
      <c r="E36" s="3" t="s">
        <v>73</v>
      </c>
      <c r="F36" s="3" t="s">
        <v>35</v>
      </c>
      <c r="G36" s="2"/>
      <c r="H36" s="2">
        <v>398799500</v>
      </c>
      <c r="I36" s="4" t="s">
        <v>20</v>
      </c>
    </row>
    <row r="37" spans="1:9" ht="56">
      <c r="A37" s="1" t="s">
        <v>75</v>
      </c>
      <c r="B37" s="5" t="s">
        <v>6</v>
      </c>
      <c r="C37" s="6" t="s">
        <v>7</v>
      </c>
      <c r="D37" s="3" t="s">
        <v>11</v>
      </c>
      <c r="E37" s="3" t="s">
        <v>76</v>
      </c>
      <c r="F37" s="3" t="s">
        <v>31</v>
      </c>
      <c r="G37" s="2"/>
      <c r="H37" s="2">
        <v>8998805799.6000004</v>
      </c>
      <c r="I37" s="4" t="s">
        <v>20</v>
      </c>
    </row>
    <row r="38" spans="1:9" ht="84">
      <c r="A38" s="1" t="s">
        <v>77</v>
      </c>
      <c r="B38" s="5" t="s">
        <v>6</v>
      </c>
      <c r="C38" s="6" t="s">
        <v>7</v>
      </c>
      <c r="D38" s="3" t="s">
        <v>11</v>
      </c>
      <c r="E38" s="3" t="s">
        <v>76</v>
      </c>
      <c r="F38" s="3" t="s">
        <v>35</v>
      </c>
      <c r="G38" s="2"/>
      <c r="H38" s="2">
        <v>2702109753.6900001</v>
      </c>
      <c r="I38" s="4" t="s">
        <v>20</v>
      </c>
    </row>
    <row r="39" spans="1:9" ht="84">
      <c r="A39" s="1" t="s">
        <v>78</v>
      </c>
      <c r="B39" s="5" t="s">
        <v>6</v>
      </c>
      <c r="C39" s="6" t="s">
        <v>7</v>
      </c>
      <c r="D39" s="3" t="s">
        <v>11</v>
      </c>
      <c r="E39" s="3" t="s">
        <v>79</v>
      </c>
      <c r="F39" s="3" t="s">
        <v>31</v>
      </c>
      <c r="G39" s="2"/>
      <c r="H39" s="2">
        <v>5613423700</v>
      </c>
      <c r="I39" s="4" t="s">
        <v>20</v>
      </c>
    </row>
    <row r="40" spans="1:9" ht="112">
      <c r="A40" s="1" t="s">
        <v>80</v>
      </c>
      <c r="B40" s="5" t="s">
        <v>6</v>
      </c>
      <c r="C40" s="6" t="s">
        <v>7</v>
      </c>
      <c r="D40" s="3" t="s">
        <v>11</v>
      </c>
      <c r="E40" s="3" t="s">
        <v>79</v>
      </c>
      <c r="F40" s="3" t="s">
        <v>35</v>
      </c>
      <c r="G40" s="2"/>
      <c r="H40" s="2">
        <v>370558500</v>
      </c>
      <c r="I40" s="4" t="s">
        <v>20</v>
      </c>
    </row>
    <row r="41" spans="1:9" ht="84">
      <c r="A41" s="1" t="s">
        <v>81</v>
      </c>
      <c r="B41" s="5" t="s">
        <v>6</v>
      </c>
      <c r="C41" s="6" t="s">
        <v>7</v>
      </c>
      <c r="D41" s="3" t="s">
        <v>11</v>
      </c>
      <c r="E41" s="3" t="s">
        <v>82</v>
      </c>
      <c r="F41" s="3" t="s">
        <v>31</v>
      </c>
      <c r="G41" s="2"/>
      <c r="H41" s="2">
        <v>67330459898.739998</v>
      </c>
      <c r="I41" s="4" t="s">
        <v>20</v>
      </c>
    </row>
    <row r="42" spans="1:9" ht="112">
      <c r="A42" s="1" t="s">
        <v>83</v>
      </c>
      <c r="B42" s="5" t="s">
        <v>6</v>
      </c>
      <c r="C42" s="6" t="s">
        <v>7</v>
      </c>
      <c r="D42" s="3" t="s">
        <v>11</v>
      </c>
      <c r="E42" s="3" t="s">
        <v>82</v>
      </c>
      <c r="F42" s="3" t="s">
        <v>35</v>
      </c>
      <c r="G42" s="2"/>
      <c r="H42" s="2">
        <v>5279725060.1800003</v>
      </c>
      <c r="I42" s="4" t="s">
        <v>20</v>
      </c>
    </row>
    <row r="43" spans="1:9" ht="70">
      <c r="A43" s="1" t="s">
        <v>84</v>
      </c>
      <c r="B43" s="5" t="s">
        <v>6</v>
      </c>
      <c r="C43" s="6" t="s">
        <v>7</v>
      </c>
      <c r="D43" s="3" t="s">
        <v>11</v>
      </c>
      <c r="E43" s="3" t="s">
        <v>85</v>
      </c>
      <c r="F43" s="3" t="s">
        <v>33</v>
      </c>
      <c r="G43" s="2"/>
      <c r="H43" s="2">
        <v>2596288163.6999998</v>
      </c>
      <c r="I43" s="4" t="s">
        <v>20</v>
      </c>
    </row>
    <row r="44" spans="1:9" ht="70">
      <c r="A44" s="1" t="s">
        <v>86</v>
      </c>
      <c r="B44" s="5" t="s">
        <v>6</v>
      </c>
      <c r="C44" s="6" t="s">
        <v>7</v>
      </c>
      <c r="D44" s="3" t="s">
        <v>11</v>
      </c>
      <c r="E44" s="3" t="s">
        <v>85</v>
      </c>
      <c r="F44" s="3" t="s">
        <v>87</v>
      </c>
      <c r="G44" s="2"/>
      <c r="H44" s="2">
        <v>2096</v>
      </c>
      <c r="I44" s="4" t="s">
        <v>20</v>
      </c>
    </row>
    <row r="45" spans="1:9" ht="84">
      <c r="A45" s="1" t="s">
        <v>88</v>
      </c>
      <c r="B45" s="5" t="s">
        <v>6</v>
      </c>
      <c r="C45" s="6" t="s">
        <v>7</v>
      </c>
      <c r="D45" s="3" t="s">
        <v>11</v>
      </c>
      <c r="E45" s="3" t="s">
        <v>85</v>
      </c>
      <c r="F45" s="3" t="s">
        <v>35</v>
      </c>
      <c r="G45" s="2"/>
      <c r="H45" s="2">
        <v>23775819.039999999</v>
      </c>
      <c r="I45" s="4" t="s">
        <v>20</v>
      </c>
    </row>
    <row r="46" spans="1:9" ht="126">
      <c r="A46" s="1" t="s">
        <v>89</v>
      </c>
      <c r="B46" s="5" t="s">
        <v>6</v>
      </c>
      <c r="C46" s="6" t="s">
        <v>7</v>
      </c>
      <c r="D46" s="3" t="s">
        <v>11</v>
      </c>
      <c r="E46" s="3" t="s">
        <v>90</v>
      </c>
      <c r="F46" s="3" t="s">
        <v>33</v>
      </c>
      <c r="G46" s="2"/>
      <c r="H46" s="2">
        <v>8459000</v>
      </c>
      <c r="I46" s="4" t="s">
        <v>20</v>
      </c>
    </row>
    <row r="47" spans="1:9" ht="140">
      <c r="A47" s="1" t="s">
        <v>91</v>
      </c>
      <c r="B47" s="5" t="s">
        <v>6</v>
      </c>
      <c r="C47" s="6" t="s">
        <v>7</v>
      </c>
      <c r="D47" s="3" t="s">
        <v>11</v>
      </c>
      <c r="E47" s="3" t="s">
        <v>92</v>
      </c>
      <c r="F47" s="3" t="s">
        <v>33</v>
      </c>
      <c r="G47" s="2"/>
      <c r="H47" s="2">
        <v>54044</v>
      </c>
      <c r="I47" s="4" t="s">
        <v>20</v>
      </c>
    </row>
    <row r="48" spans="1:9" ht="126">
      <c r="A48" s="1" t="s">
        <v>45</v>
      </c>
      <c r="B48" s="5" t="s">
        <v>6</v>
      </c>
      <c r="C48" s="6" t="s">
        <v>7</v>
      </c>
      <c r="D48" s="3" t="s">
        <v>11</v>
      </c>
      <c r="E48" s="3" t="s">
        <v>93</v>
      </c>
      <c r="F48" s="3" t="s">
        <v>33</v>
      </c>
      <c r="G48" s="2"/>
      <c r="H48" s="2">
        <v>47734660.170000002</v>
      </c>
      <c r="I48" s="4" t="s">
        <v>20</v>
      </c>
    </row>
    <row r="49" spans="1:9" ht="140">
      <c r="A49" s="1" t="s">
        <v>94</v>
      </c>
      <c r="B49" s="5" t="s">
        <v>6</v>
      </c>
      <c r="C49" s="6" t="s">
        <v>7</v>
      </c>
      <c r="D49" s="3" t="s">
        <v>11</v>
      </c>
      <c r="E49" s="3" t="s">
        <v>93</v>
      </c>
      <c r="F49" s="3" t="s">
        <v>35</v>
      </c>
      <c r="G49" s="2"/>
      <c r="H49" s="2">
        <v>130192.01</v>
      </c>
      <c r="I49" s="4" t="s">
        <v>20</v>
      </c>
    </row>
    <row r="50" spans="1:9" ht="84">
      <c r="A50" s="1" t="s">
        <v>51</v>
      </c>
      <c r="B50" s="5" t="s">
        <v>6</v>
      </c>
      <c r="C50" s="6" t="s">
        <v>7</v>
      </c>
      <c r="D50" s="3" t="s">
        <v>11</v>
      </c>
      <c r="E50" s="3" t="s">
        <v>71</v>
      </c>
      <c r="F50" s="3" t="s">
        <v>6</v>
      </c>
      <c r="G50" s="2">
        <v>14821942700</v>
      </c>
      <c r="H50" s="2">
        <v>14784093456.559999</v>
      </c>
      <c r="I50" s="4">
        <v>37849243.440000534</v>
      </c>
    </row>
    <row r="51" spans="1:9" ht="56">
      <c r="A51" s="1" t="s">
        <v>95</v>
      </c>
      <c r="B51" s="5" t="s">
        <v>6</v>
      </c>
      <c r="C51" s="6" t="s">
        <v>7</v>
      </c>
      <c r="D51" s="3" t="s">
        <v>11</v>
      </c>
      <c r="E51" s="3" t="s">
        <v>85</v>
      </c>
      <c r="F51" s="3" t="s">
        <v>54</v>
      </c>
      <c r="G51" s="2"/>
      <c r="H51" s="2">
        <v>2355954837.1700001</v>
      </c>
      <c r="I51" s="4" t="s">
        <v>20</v>
      </c>
    </row>
    <row r="52" spans="1:9" ht="70">
      <c r="A52" s="1" t="s">
        <v>96</v>
      </c>
      <c r="B52" s="5" t="s">
        <v>6</v>
      </c>
      <c r="C52" s="6" t="s">
        <v>7</v>
      </c>
      <c r="D52" s="3" t="s">
        <v>11</v>
      </c>
      <c r="E52" s="3" t="s">
        <v>97</v>
      </c>
      <c r="F52" s="3" t="s">
        <v>19</v>
      </c>
      <c r="G52" s="2"/>
      <c r="H52" s="2">
        <v>4400097710.8100004</v>
      </c>
      <c r="I52" s="4" t="s">
        <v>20</v>
      </c>
    </row>
    <row r="53" spans="1:9" ht="70">
      <c r="A53" s="1" t="s">
        <v>98</v>
      </c>
      <c r="B53" s="5" t="s">
        <v>6</v>
      </c>
      <c r="C53" s="6" t="s">
        <v>7</v>
      </c>
      <c r="D53" s="3" t="s">
        <v>11</v>
      </c>
      <c r="E53" s="3" t="s">
        <v>97</v>
      </c>
      <c r="F53" s="3" t="s">
        <v>99</v>
      </c>
      <c r="G53" s="2"/>
      <c r="H53" s="2">
        <v>1242076177.0699999</v>
      </c>
      <c r="I53" s="4" t="s">
        <v>20</v>
      </c>
    </row>
    <row r="54" spans="1:9" ht="56">
      <c r="A54" s="1" t="s">
        <v>100</v>
      </c>
      <c r="B54" s="5" t="s">
        <v>6</v>
      </c>
      <c r="C54" s="6" t="s">
        <v>7</v>
      </c>
      <c r="D54" s="3" t="s">
        <v>11</v>
      </c>
      <c r="E54" s="3" t="s">
        <v>97</v>
      </c>
      <c r="F54" s="3" t="s">
        <v>54</v>
      </c>
      <c r="G54" s="2"/>
      <c r="H54" s="2">
        <v>5057911902.6700001</v>
      </c>
      <c r="I54" s="4" t="s">
        <v>20</v>
      </c>
    </row>
    <row r="55" spans="1:9" ht="70">
      <c r="A55" s="1" t="s">
        <v>55</v>
      </c>
      <c r="B55" s="5" t="s">
        <v>6</v>
      </c>
      <c r="C55" s="6" t="s">
        <v>7</v>
      </c>
      <c r="D55" s="3" t="s">
        <v>11</v>
      </c>
      <c r="E55" s="3" t="s">
        <v>101</v>
      </c>
      <c r="F55" s="3" t="s">
        <v>54</v>
      </c>
      <c r="G55" s="2"/>
      <c r="H55" s="2">
        <v>235595694.25</v>
      </c>
      <c r="I55" s="4" t="s">
        <v>20</v>
      </c>
    </row>
    <row r="56" spans="1:9" ht="70">
      <c r="A56" s="1" t="s">
        <v>57</v>
      </c>
      <c r="B56" s="5" t="s">
        <v>6</v>
      </c>
      <c r="C56" s="6" t="s">
        <v>7</v>
      </c>
      <c r="D56" s="3" t="s">
        <v>11</v>
      </c>
      <c r="E56" s="3" t="s">
        <v>101</v>
      </c>
      <c r="F56" s="3" t="s">
        <v>58</v>
      </c>
      <c r="G56" s="2"/>
      <c r="H56" s="2">
        <v>1492457134.5899999</v>
      </c>
      <c r="I56" s="4" t="s">
        <v>20</v>
      </c>
    </row>
    <row r="57" spans="1:9" ht="70">
      <c r="A57" s="1" t="s">
        <v>61</v>
      </c>
      <c r="B57" s="5" t="s">
        <v>6</v>
      </c>
      <c r="C57" s="6" t="s">
        <v>7</v>
      </c>
      <c r="D57" s="3" t="s">
        <v>11</v>
      </c>
      <c r="E57" s="3" t="s">
        <v>71</v>
      </c>
      <c r="F57" s="3" t="s">
        <v>62</v>
      </c>
      <c r="G57" s="2">
        <v>1095638300</v>
      </c>
      <c r="H57" s="2">
        <v>1095634976.47</v>
      </c>
      <c r="I57" s="4">
        <v>3323.5299999713898</v>
      </c>
    </row>
    <row r="58" spans="1:9" ht="70">
      <c r="A58" s="1" t="s">
        <v>102</v>
      </c>
      <c r="B58" s="5" t="s">
        <v>6</v>
      </c>
      <c r="C58" s="6" t="s">
        <v>7</v>
      </c>
      <c r="D58" s="3" t="s">
        <v>11</v>
      </c>
      <c r="E58" s="3" t="s">
        <v>85</v>
      </c>
      <c r="F58" s="3" t="s">
        <v>64</v>
      </c>
      <c r="G58" s="2"/>
      <c r="H58" s="2">
        <v>195632867.16999999</v>
      </c>
      <c r="I58" s="4" t="s">
        <v>20</v>
      </c>
    </row>
    <row r="59" spans="1:9" ht="70">
      <c r="A59" s="1" t="s">
        <v>103</v>
      </c>
      <c r="B59" s="5" t="s">
        <v>6</v>
      </c>
      <c r="C59" s="6" t="s">
        <v>7</v>
      </c>
      <c r="D59" s="3" t="s">
        <v>11</v>
      </c>
      <c r="E59" s="3" t="s">
        <v>85</v>
      </c>
      <c r="F59" s="3" t="s">
        <v>104</v>
      </c>
      <c r="G59" s="2"/>
      <c r="H59" s="2">
        <v>895487700</v>
      </c>
      <c r="I59" s="4" t="s">
        <v>20</v>
      </c>
    </row>
    <row r="60" spans="1:9" ht="56">
      <c r="A60" s="1" t="s">
        <v>105</v>
      </c>
      <c r="B60" s="5" t="s">
        <v>6</v>
      </c>
      <c r="C60" s="6" t="s">
        <v>7</v>
      </c>
      <c r="D60" s="3" t="s">
        <v>11</v>
      </c>
      <c r="E60" s="3" t="s">
        <v>85</v>
      </c>
      <c r="F60" s="3" t="s">
        <v>106</v>
      </c>
      <c r="G60" s="2"/>
      <c r="H60" s="2">
        <v>3996887</v>
      </c>
      <c r="I60" s="4" t="s">
        <v>20</v>
      </c>
    </row>
    <row r="61" spans="1:9" ht="140">
      <c r="A61" s="1" t="s">
        <v>107</v>
      </c>
      <c r="B61" s="5" t="s">
        <v>6</v>
      </c>
      <c r="C61" s="6" t="s">
        <v>7</v>
      </c>
      <c r="D61" s="3" t="s">
        <v>11</v>
      </c>
      <c r="E61" s="3" t="s">
        <v>92</v>
      </c>
      <c r="F61" s="3" t="s">
        <v>64</v>
      </c>
      <c r="G61" s="2"/>
      <c r="H61" s="2">
        <v>517522.3</v>
      </c>
      <c r="I61" s="4" t="s">
        <v>20</v>
      </c>
    </row>
    <row r="62" spans="1:9" ht="84">
      <c r="A62" s="1" t="s">
        <v>108</v>
      </c>
      <c r="B62" s="5" t="s">
        <v>6</v>
      </c>
      <c r="C62" s="6" t="s">
        <v>7</v>
      </c>
      <c r="D62" s="3" t="s">
        <v>11</v>
      </c>
      <c r="E62" s="3" t="s">
        <v>71</v>
      </c>
      <c r="F62" s="3" t="s">
        <v>109</v>
      </c>
      <c r="G62" s="2">
        <v>1060035100</v>
      </c>
      <c r="H62" s="2">
        <v>1060034905.6900001</v>
      </c>
      <c r="I62" s="4">
        <v>194.30999994277954</v>
      </c>
    </row>
    <row r="63" spans="1:9" ht="98">
      <c r="A63" s="1" t="s">
        <v>110</v>
      </c>
      <c r="B63" s="5" t="s">
        <v>6</v>
      </c>
      <c r="C63" s="6" t="s">
        <v>7</v>
      </c>
      <c r="D63" s="3" t="s">
        <v>11</v>
      </c>
      <c r="E63" s="3" t="s">
        <v>111</v>
      </c>
      <c r="F63" s="3" t="s">
        <v>112</v>
      </c>
      <c r="G63" s="2"/>
      <c r="H63" s="2">
        <v>783873688.49000001</v>
      </c>
      <c r="I63" s="4" t="s">
        <v>20</v>
      </c>
    </row>
    <row r="64" spans="1:9" ht="112">
      <c r="A64" s="1" t="s">
        <v>113</v>
      </c>
      <c r="B64" s="5" t="s">
        <v>6</v>
      </c>
      <c r="C64" s="6" t="s">
        <v>7</v>
      </c>
      <c r="D64" s="3" t="s">
        <v>11</v>
      </c>
      <c r="E64" s="3" t="s">
        <v>114</v>
      </c>
      <c r="F64" s="3" t="s">
        <v>112</v>
      </c>
      <c r="G64" s="2"/>
      <c r="H64" s="2">
        <v>276161217.19999999</v>
      </c>
      <c r="I64" s="4" t="s">
        <v>20</v>
      </c>
    </row>
    <row r="65" spans="1:9" ht="56">
      <c r="A65" s="1" t="s">
        <v>65</v>
      </c>
      <c r="B65" s="5" t="s">
        <v>6</v>
      </c>
      <c r="C65" s="6" t="s">
        <v>7</v>
      </c>
      <c r="D65" s="3" t="s">
        <v>11</v>
      </c>
      <c r="E65" s="3" t="s">
        <v>71</v>
      </c>
      <c r="F65" s="3" t="s">
        <v>66</v>
      </c>
      <c r="G65" s="2">
        <v>781550700</v>
      </c>
      <c r="H65" s="2">
        <v>781479154.33000004</v>
      </c>
      <c r="I65" s="4">
        <v>71545.669999957085</v>
      </c>
    </row>
    <row r="66" spans="1:9" ht="70">
      <c r="A66" s="1" t="s">
        <v>115</v>
      </c>
      <c r="B66" s="5" t="s">
        <v>6</v>
      </c>
      <c r="C66" s="6" t="s">
        <v>7</v>
      </c>
      <c r="D66" s="3" t="s">
        <v>11</v>
      </c>
      <c r="E66" s="3" t="s">
        <v>85</v>
      </c>
      <c r="F66" s="3" t="s">
        <v>68</v>
      </c>
      <c r="G66" s="2"/>
      <c r="H66" s="2">
        <v>694079.92</v>
      </c>
      <c r="I66" s="4" t="s">
        <v>20</v>
      </c>
    </row>
    <row r="67" spans="1:9" ht="70">
      <c r="A67" s="1" t="s">
        <v>116</v>
      </c>
      <c r="B67" s="5" t="s">
        <v>6</v>
      </c>
      <c r="C67" s="6" t="s">
        <v>7</v>
      </c>
      <c r="D67" s="3" t="s">
        <v>11</v>
      </c>
      <c r="E67" s="3" t="s">
        <v>97</v>
      </c>
      <c r="F67" s="3" t="s">
        <v>68</v>
      </c>
      <c r="G67" s="2"/>
      <c r="H67" s="2">
        <v>900000</v>
      </c>
      <c r="I67" s="4" t="s">
        <v>20</v>
      </c>
    </row>
    <row r="68" spans="1:9" ht="56">
      <c r="A68" s="1" t="s">
        <v>117</v>
      </c>
      <c r="B68" s="5" t="s">
        <v>6</v>
      </c>
      <c r="C68" s="6" t="s">
        <v>7</v>
      </c>
      <c r="D68" s="3" t="s">
        <v>11</v>
      </c>
      <c r="E68" s="3" t="s">
        <v>97</v>
      </c>
      <c r="F68" s="3" t="s">
        <v>118</v>
      </c>
      <c r="G68" s="2"/>
      <c r="H68" s="2">
        <v>760558646.25999999</v>
      </c>
      <c r="I68" s="4" t="s">
        <v>20</v>
      </c>
    </row>
    <row r="69" spans="1:9" ht="56">
      <c r="A69" s="1" t="s">
        <v>119</v>
      </c>
      <c r="B69" s="5" t="s">
        <v>6</v>
      </c>
      <c r="C69" s="6" t="s">
        <v>7</v>
      </c>
      <c r="D69" s="3" t="s">
        <v>11</v>
      </c>
      <c r="E69" s="3" t="s">
        <v>97</v>
      </c>
      <c r="F69" s="3" t="s">
        <v>120</v>
      </c>
      <c r="G69" s="2"/>
      <c r="H69" s="2">
        <v>18508593.350000001</v>
      </c>
      <c r="I69" s="4" t="s">
        <v>20</v>
      </c>
    </row>
    <row r="70" spans="1:9" ht="42">
      <c r="A70" s="1" t="s">
        <v>121</v>
      </c>
      <c r="B70" s="5" t="s">
        <v>6</v>
      </c>
      <c r="C70" s="6" t="s">
        <v>7</v>
      </c>
      <c r="D70" s="3" t="s">
        <v>11</v>
      </c>
      <c r="E70" s="3" t="s">
        <v>97</v>
      </c>
      <c r="F70" s="3" t="s">
        <v>122</v>
      </c>
      <c r="G70" s="2"/>
      <c r="H70" s="2">
        <v>817834.8</v>
      </c>
      <c r="I70" s="4" t="s">
        <v>20</v>
      </c>
    </row>
    <row r="71" spans="1:9" ht="42">
      <c r="A71" s="1" t="s">
        <v>123</v>
      </c>
      <c r="B71" s="5" t="s">
        <v>6</v>
      </c>
      <c r="C71" s="6" t="s">
        <v>7</v>
      </c>
      <c r="D71" s="3" t="s">
        <v>11</v>
      </c>
      <c r="E71" s="3" t="s">
        <v>124</v>
      </c>
      <c r="F71" s="3"/>
      <c r="G71" s="2">
        <v>7640500</v>
      </c>
      <c r="H71" s="2">
        <v>7640394.1600000001</v>
      </c>
      <c r="I71" s="4">
        <v>105.83999999985099</v>
      </c>
    </row>
    <row r="72" spans="1:9" ht="42">
      <c r="A72" s="1" t="s">
        <v>125</v>
      </c>
      <c r="B72" s="5" t="s">
        <v>6</v>
      </c>
      <c r="C72" s="6" t="s">
        <v>7</v>
      </c>
      <c r="D72" s="3" t="s">
        <v>11</v>
      </c>
      <c r="E72" s="3" t="s">
        <v>126</v>
      </c>
      <c r="F72" s="3"/>
      <c r="G72" s="2">
        <v>7640500</v>
      </c>
      <c r="H72" s="2">
        <v>7640394.1600000001</v>
      </c>
      <c r="I72" s="4">
        <v>105.83999999985099</v>
      </c>
    </row>
    <row r="73" spans="1:9" ht="84">
      <c r="A73" s="1" t="s">
        <v>51</v>
      </c>
      <c r="B73" s="5" t="s">
        <v>6</v>
      </c>
      <c r="C73" s="6" t="s">
        <v>7</v>
      </c>
      <c r="D73" s="3" t="s">
        <v>11</v>
      </c>
      <c r="E73" s="3" t="s">
        <v>127</v>
      </c>
      <c r="F73" s="3" t="s">
        <v>6</v>
      </c>
      <c r="G73" s="2">
        <v>7640500</v>
      </c>
      <c r="H73" s="2">
        <v>7640394.1600000001</v>
      </c>
      <c r="I73" s="4">
        <v>105.83999999985099</v>
      </c>
    </row>
    <row r="74" spans="1:9" ht="70">
      <c r="A74" s="1" t="s">
        <v>128</v>
      </c>
      <c r="B74" s="5" t="s">
        <v>6</v>
      </c>
      <c r="C74" s="6" t="s">
        <v>7</v>
      </c>
      <c r="D74" s="3" t="s">
        <v>11</v>
      </c>
      <c r="E74" s="3" t="s">
        <v>129</v>
      </c>
      <c r="F74" s="3" t="s">
        <v>19</v>
      </c>
      <c r="G74" s="2"/>
      <c r="H74" s="2">
        <v>2436714.16</v>
      </c>
      <c r="I74" s="4" t="s">
        <v>20</v>
      </c>
    </row>
    <row r="75" spans="1:9" ht="56">
      <c r="A75" s="1" t="s">
        <v>130</v>
      </c>
      <c r="B75" s="5" t="s">
        <v>6</v>
      </c>
      <c r="C75" s="6" t="s">
        <v>7</v>
      </c>
      <c r="D75" s="3" t="s">
        <v>11</v>
      </c>
      <c r="E75" s="3" t="s">
        <v>129</v>
      </c>
      <c r="F75" s="3" t="s">
        <v>54</v>
      </c>
      <c r="G75" s="2"/>
      <c r="H75" s="2">
        <v>5203680</v>
      </c>
      <c r="I75" s="4" t="s">
        <v>20</v>
      </c>
    </row>
    <row r="76" spans="1:9" ht="28">
      <c r="A76" s="1" t="s">
        <v>131</v>
      </c>
      <c r="B76" s="5" t="s">
        <v>6</v>
      </c>
      <c r="C76" s="6" t="s">
        <v>7</v>
      </c>
      <c r="D76" s="3" t="s">
        <v>132</v>
      </c>
      <c r="E76" s="3"/>
      <c r="F76" s="3"/>
      <c r="G76" s="2">
        <v>902575900</v>
      </c>
      <c r="H76" s="2">
        <v>902575900</v>
      </c>
      <c r="I76" s="4">
        <v>0</v>
      </c>
    </row>
    <row r="77" spans="1:9" ht="28">
      <c r="A77" s="1" t="s">
        <v>133</v>
      </c>
      <c r="B77" s="5" t="s">
        <v>6</v>
      </c>
      <c r="C77" s="6" t="s">
        <v>7</v>
      </c>
      <c r="D77" s="3" t="s">
        <v>134</v>
      </c>
      <c r="E77" s="3"/>
      <c r="F77" s="3"/>
      <c r="G77" s="2">
        <v>902575900</v>
      </c>
      <c r="H77" s="2">
        <v>902575900</v>
      </c>
      <c r="I77" s="4">
        <v>0</v>
      </c>
    </row>
    <row r="78" spans="1:9" ht="70">
      <c r="A78" s="1" t="s">
        <v>135</v>
      </c>
      <c r="B78" s="5" t="s">
        <v>6</v>
      </c>
      <c r="C78" s="6" t="s">
        <v>7</v>
      </c>
      <c r="D78" s="3" t="s">
        <v>134</v>
      </c>
      <c r="E78" s="3" t="s">
        <v>136</v>
      </c>
      <c r="F78" s="3"/>
      <c r="G78" s="2">
        <v>902575900</v>
      </c>
      <c r="H78" s="2">
        <v>902575900</v>
      </c>
      <c r="I78" s="4">
        <v>0</v>
      </c>
    </row>
    <row r="79" spans="1:9" ht="84">
      <c r="A79" s="1" t="s">
        <v>137</v>
      </c>
      <c r="B79" s="5" t="s">
        <v>6</v>
      </c>
      <c r="C79" s="6" t="s">
        <v>7</v>
      </c>
      <c r="D79" s="3" t="s">
        <v>134</v>
      </c>
      <c r="E79" s="3" t="s">
        <v>138</v>
      </c>
      <c r="F79" s="3"/>
      <c r="G79" s="2">
        <v>902575900</v>
      </c>
      <c r="H79" s="2">
        <v>902575900</v>
      </c>
      <c r="I79" s="4">
        <v>0</v>
      </c>
    </row>
    <row r="80" spans="1:9" ht="56">
      <c r="A80" s="1" t="s">
        <v>139</v>
      </c>
      <c r="B80" s="5" t="s">
        <v>6</v>
      </c>
      <c r="C80" s="6" t="s">
        <v>7</v>
      </c>
      <c r="D80" s="3" t="s">
        <v>134</v>
      </c>
      <c r="E80" s="3" t="s">
        <v>140</v>
      </c>
      <c r="F80" s="3" t="s">
        <v>109</v>
      </c>
      <c r="G80" s="2">
        <v>902575900</v>
      </c>
      <c r="H80" s="2">
        <v>902575900</v>
      </c>
      <c r="I80" s="4">
        <v>0</v>
      </c>
    </row>
    <row r="81" spans="1:9" ht="70">
      <c r="A81" s="1" t="s">
        <v>141</v>
      </c>
      <c r="B81" s="5" t="s">
        <v>6</v>
      </c>
      <c r="C81" s="6" t="s">
        <v>7</v>
      </c>
      <c r="D81" s="3" t="s">
        <v>134</v>
      </c>
      <c r="E81" s="3" t="s">
        <v>140</v>
      </c>
      <c r="F81" s="3" t="s">
        <v>142</v>
      </c>
      <c r="G81" s="2"/>
      <c r="H81" s="2">
        <v>902575900</v>
      </c>
      <c r="I81" s="4" t="s">
        <v>20</v>
      </c>
    </row>
    <row r="82" spans="1:9" ht="28">
      <c r="A82" s="1" t="s">
        <v>143</v>
      </c>
      <c r="B82" s="5" t="s">
        <v>6</v>
      </c>
      <c r="C82" s="6" t="s">
        <v>7</v>
      </c>
      <c r="D82" s="3" t="s">
        <v>144</v>
      </c>
      <c r="E82" s="3"/>
      <c r="F82" s="3"/>
      <c r="G82" s="2">
        <v>1865562700</v>
      </c>
      <c r="H82" s="2">
        <v>1865229961.04</v>
      </c>
      <c r="I82" s="4">
        <v>332738.96000003815</v>
      </c>
    </row>
    <row r="83" spans="1:9" ht="42">
      <c r="A83" s="1" t="s">
        <v>145</v>
      </c>
      <c r="B83" s="5" t="s">
        <v>6</v>
      </c>
      <c r="C83" s="6" t="s">
        <v>7</v>
      </c>
      <c r="D83" s="3" t="s">
        <v>146</v>
      </c>
      <c r="E83" s="3"/>
      <c r="F83" s="3"/>
      <c r="G83" s="2">
        <v>2865800</v>
      </c>
      <c r="H83" s="2">
        <v>2858842.21</v>
      </c>
      <c r="I83" s="4">
        <v>6957.7900000000373</v>
      </c>
    </row>
    <row r="84" spans="1:9" ht="28">
      <c r="A84" s="1" t="s">
        <v>23</v>
      </c>
      <c r="B84" s="5" t="s">
        <v>6</v>
      </c>
      <c r="C84" s="6" t="s">
        <v>7</v>
      </c>
      <c r="D84" s="3" t="s">
        <v>146</v>
      </c>
      <c r="E84" s="3" t="s">
        <v>24</v>
      </c>
      <c r="F84" s="3"/>
      <c r="G84" s="2">
        <v>2865800</v>
      </c>
      <c r="H84" s="2">
        <v>2858842.21</v>
      </c>
      <c r="I84" s="4">
        <v>6957.7900000000373</v>
      </c>
    </row>
    <row r="85" spans="1:9" ht="42">
      <c r="A85" s="1" t="s">
        <v>5</v>
      </c>
      <c r="B85" s="5" t="s">
        <v>6</v>
      </c>
      <c r="C85" s="6" t="s">
        <v>7</v>
      </c>
      <c r="D85" s="3" t="s">
        <v>146</v>
      </c>
      <c r="E85" s="3" t="s">
        <v>25</v>
      </c>
      <c r="F85" s="3"/>
      <c r="G85" s="2">
        <v>1243100</v>
      </c>
      <c r="H85" s="2">
        <v>1243080</v>
      </c>
      <c r="I85" s="4">
        <v>20</v>
      </c>
    </row>
    <row r="86" spans="1:9" ht="84">
      <c r="A86" s="1" t="s">
        <v>51</v>
      </c>
      <c r="B86" s="5" t="s">
        <v>6</v>
      </c>
      <c r="C86" s="6" t="s">
        <v>7</v>
      </c>
      <c r="D86" s="3" t="s">
        <v>146</v>
      </c>
      <c r="E86" s="3" t="s">
        <v>27</v>
      </c>
      <c r="F86" s="3" t="s">
        <v>6</v>
      </c>
      <c r="G86" s="2">
        <v>1243100</v>
      </c>
      <c r="H86" s="2">
        <v>1243080</v>
      </c>
      <c r="I86" s="4">
        <v>20</v>
      </c>
    </row>
    <row r="87" spans="1:9" ht="98">
      <c r="A87" s="1" t="s">
        <v>53</v>
      </c>
      <c r="B87" s="5" t="s">
        <v>6</v>
      </c>
      <c r="C87" s="6" t="s">
        <v>7</v>
      </c>
      <c r="D87" s="3" t="s">
        <v>146</v>
      </c>
      <c r="E87" s="3" t="s">
        <v>30</v>
      </c>
      <c r="F87" s="3" t="s">
        <v>54</v>
      </c>
      <c r="G87" s="2"/>
      <c r="H87" s="2">
        <v>1243080</v>
      </c>
      <c r="I87" s="4" t="s">
        <v>20</v>
      </c>
    </row>
    <row r="88" spans="1:9" ht="56">
      <c r="A88" s="1" t="s">
        <v>69</v>
      </c>
      <c r="B88" s="5" t="s">
        <v>6</v>
      </c>
      <c r="C88" s="6" t="s">
        <v>7</v>
      </c>
      <c r="D88" s="3" t="s">
        <v>146</v>
      </c>
      <c r="E88" s="3" t="s">
        <v>70</v>
      </c>
      <c r="F88" s="3"/>
      <c r="G88" s="2">
        <v>1622700</v>
      </c>
      <c r="H88" s="2">
        <v>1615762.21</v>
      </c>
      <c r="I88" s="4">
        <v>6937.7900000000373</v>
      </c>
    </row>
    <row r="89" spans="1:9" ht="84">
      <c r="A89" s="1" t="s">
        <v>51</v>
      </c>
      <c r="B89" s="5" t="s">
        <v>6</v>
      </c>
      <c r="C89" s="6" t="s">
        <v>7</v>
      </c>
      <c r="D89" s="3" t="s">
        <v>146</v>
      </c>
      <c r="E89" s="3" t="s">
        <v>71</v>
      </c>
      <c r="F89" s="3" t="s">
        <v>6</v>
      </c>
      <c r="G89" s="2">
        <v>1622700</v>
      </c>
      <c r="H89" s="2">
        <v>1615762.21</v>
      </c>
      <c r="I89" s="4">
        <v>6937.7900000000373</v>
      </c>
    </row>
    <row r="90" spans="1:9" ht="56">
      <c r="A90" s="1" t="s">
        <v>100</v>
      </c>
      <c r="B90" s="5" t="s">
        <v>6</v>
      </c>
      <c r="C90" s="6" t="s">
        <v>7</v>
      </c>
      <c r="D90" s="3" t="s">
        <v>146</v>
      </c>
      <c r="E90" s="3" t="s">
        <v>97</v>
      </c>
      <c r="F90" s="3" t="s">
        <v>54</v>
      </c>
      <c r="G90" s="2"/>
      <c r="H90" s="2">
        <v>182577.4</v>
      </c>
      <c r="I90" s="4" t="s">
        <v>20</v>
      </c>
    </row>
    <row r="91" spans="1:9" ht="70">
      <c r="A91" s="1" t="s">
        <v>147</v>
      </c>
      <c r="B91" s="5" t="s">
        <v>6</v>
      </c>
      <c r="C91" s="6" t="s">
        <v>7</v>
      </c>
      <c r="D91" s="3" t="s">
        <v>146</v>
      </c>
      <c r="E91" s="3" t="s">
        <v>148</v>
      </c>
      <c r="F91" s="3" t="s">
        <v>54</v>
      </c>
      <c r="G91" s="2"/>
      <c r="H91" s="2">
        <v>1433184.81</v>
      </c>
      <c r="I91" s="4" t="s">
        <v>20</v>
      </c>
    </row>
    <row r="92" spans="1:9" ht="28">
      <c r="A92" s="1" t="s">
        <v>149</v>
      </c>
      <c r="B92" s="5" t="s">
        <v>6</v>
      </c>
      <c r="C92" s="6" t="s">
        <v>7</v>
      </c>
      <c r="D92" s="3" t="s">
        <v>150</v>
      </c>
      <c r="E92" s="3"/>
      <c r="F92" s="3"/>
      <c r="G92" s="2">
        <v>1573631600</v>
      </c>
      <c r="H92" s="2">
        <v>1573312010.8800001</v>
      </c>
      <c r="I92" s="4">
        <v>319589.11999988556</v>
      </c>
    </row>
    <row r="93" spans="1:9" ht="28">
      <c r="A93" s="1" t="s">
        <v>23</v>
      </c>
      <c r="B93" s="5" t="s">
        <v>6</v>
      </c>
      <c r="C93" s="6" t="s">
        <v>7</v>
      </c>
      <c r="D93" s="3" t="s">
        <v>150</v>
      </c>
      <c r="E93" s="3" t="s">
        <v>24</v>
      </c>
      <c r="F93" s="3"/>
      <c r="G93" s="2">
        <v>1573631600</v>
      </c>
      <c r="H93" s="2">
        <v>1573312010.8800001</v>
      </c>
      <c r="I93" s="4">
        <v>319589.11999988556</v>
      </c>
    </row>
    <row r="94" spans="1:9" ht="56">
      <c r="A94" s="1" t="s">
        <v>69</v>
      </c>
      <c r="B94" s="5" t="s">
        <v>6</v>
      </c>
      <c r="C94" s="6" t="s">
        <v>7</v>
      </c>
      <c r="D94" s="3" t="s">
        <v>150</v>
      </c>
      <c r="E94" s="3" t="s">
        <v>70</v>
      </c>
      <c r="F94" s="3"/>
      <c r="G94" s="2">
        <v>1573631600</v>
      </c>
      <c r="H94" s="2">
        <v>1573312010.8800001</v>
      </c>
      <c r="I94" s="4">
        <v>319589.11999988556</v>
      </c>
    </row>
    <row r="95" spans="1:9" ht="112">
      <c r="A95" s="1" t="s">
        <v>26</v>
      </c>
      <c r="B95" s="5" t="s">
        <v>6</v>
      </c>
      <c r="C95" s="6" t="s">
        <v>7</v>
      </c>
      <c r="D95" s="3" t="s">
        <v>150</v>
      </c>
      <c r="E95" s="3" t="s">
        <v>71</v>
      </c>
      <c r="F95" s="3" t="s">
        <v>28</v>
      </c>
      <c r="G95" s="2">
        <v>1241292000</v>
      </c>
      <c r="H95" s="2">
        <v>1241292000</v>
      </c>
      <c r="I95" s="4">
        <v>0</v>
      </c>
    </row>
    <row r="96" spans="1:9" ht="56">
      <c r="A96" s="1" t="s">
        <v>151</v>
      </c>
      <c r="B96" s="5" t="s">
        <v>6</v>
      </c>
      <c r="C96" s="6" t="s">
        <v>7</v>
      </c>
      <c r="D96" s="3" t="s">
        <v>150</v>
      </c>
      <c r="E96" s="3" t="s">
        <v>152</v>
      </c>
      <c r="F96" s="3" t="s">
        <v>153</v>
      </c>
      <c r="G96" s="2"/>
      <c r="H96" s="2">
        <v>951507800</v>
      </c>
      <c r="I96" s="4" t="s">
        <v>20</v>
      </c>
    </row>
    <row r="97" spans="1:9" ht="70">
      <c r="A97" s="1" t="s">
        <v>154</v>
      </c>
      <c r="B97" s="5" t="s">
        <v>6</v>
      </c>
      <c r="C97" s="6" t="s">
        <v>7</v>
      </c>
      <c r="D97" s="3" t="s">
        <v>150</v>
      </c>
      <c r="E97" s="3" t="s">
        <v>152</v>
      </c>
      <c r="F97" s="3" t="s">
        <v>155</v>
      </c>
      <c r="G97" s="2"/>
      <c r="H97" s="2">
        <v>20136200</v>
      </c>
      <c r="I97" s="4" t="s">
        <v>20</v>
      </c>
    </row>
    <row r="98" spans="1:9" ht="84">
      <c r="A98" s="1" t="s">
        <v>156</v>
      </c>
      <c r="B98" s="5" t="s">
        <v>6</v>
      </c>
      <c r="C98" s="6" t="s">
        <v>7</v>
      </c>
      <c r="D98" s="3" t="s">
        <v>150</v>
      </c>
      <c r="E98" s="3" t="s">
        <v>152</v>
      </c>
      <c r="F98" s="3" t="s">
        <v>157</v>
      </c>
      <c r="G98" s="2"/>
      <c r="H98" s="2">
        <v>269648000</v>
      </c>
      <c r="I98" s="4" t="s">
        <v>20</v>
      </c>
    </row>
    <row r="99" spans="1:9" ht="84">
      <c r="A99" s="1" t="s">
        <v>51</v>
      </c>
      <c r="B99" s="5" t="s">
        <v>6</v>
      </c>
      <c r="C99" s="6" t="s">
        <v>7</v>
      </c>
      <c r="D99" s="3" t="s">
        <v>150</v>
      </c>
      <c r="E99" s="3" t="s">
        <v>71</v>
      </c>
      <c r="F99" s="3" t="s">
        <v>6</v>
      </c>
      <c r="G99" s="2">
        <v>258263400</v>
      </c>
      <c r="H99" s="2">
        <v>258232874.56999999</v>
      </c>
      <c r="I99" s="4">
        <v>30525.430000007153</v>
      </c>
    </row>
    <row r="100" spans="1:9" ht="70">
      <c r="A100" s="1" t="s">
        <v>158</v>
      </c>
      <c r="B100" s="5" t="s">
        <v>6</v>
      </c>
      <c r="C100" s="6" t="s">
        <v>7</v>
      </c>
      <c r="D100" s="3" t="s">
        <v>150</v>
      </c>
      <c r="E100" s="3" t="s">
        <v>152</v>
      </c>
      <c r="F100" s="3" t="s">
        <v>19</v>
      </c>
      <c r="G100" s="2"/>
      <c r="H100" s="2">
        <v>13952797.619999999</v>
      </c>
      <c r="I100" s="4" t="s">
        <v>20</v>
      </c>
    </row>
    <row r="101" spans="1:9" ht="70">
      <c r="A101" s="1" t="s">
        <v>159</v>
      </c>
      <c r="B101" s="5" t="s">
        <v>6</v>
      </c>
      <c r="C101" s="6" t="s">
        <v>7</v>
      </c>
      <c r="D101" s="3" t="s">
        <v>150</v>
      </c>
      <c r="E101" s="3" t="s">
        <v>152</v>
      </c>
      <c r="F101" s="3" t="s">
        <v>99</v>
      </c>
      <c r="G101" s="2"/>
      <c r="H101" s="2">
        <v>13700000</v>
      </c>
      <c r="I101" s="4" t="s">
        <v>20</v>
      </c>
    </row>
    <row r="102" spans="1:9" ht="56">
      <c r="A102" s="1" t="s">
        <v>160</v>
      </c>
      <c r="B102" s="5" t="s">
        <v>6</v>
      </c>
      <c r="C102" s="6" t="s">
        <v>7</v>
      </c>
      <c r="D102" s="3" t="s">
        <v>150</v>
      </c>
      <c r="E102" s="3" t="s">
        <v>152</v>
      </c>
      <c r="F102" s="3" t="s">
        <v>54</v>
      </c>
      <c r="G102" s="2"/>
      <c r="H102" s="2">
        <v>194826757.69999999</v>
      </c>
      <c r="I102" s="4" t="s">
        <v>20</v>
      </c>
    </row>
    <row r="103" spans="1:9" ht="70">
      <c r="A103" s="1" t="s">
        <v>55</v>
      </c>
      <c r="B103" s="5" t="s">
        <v>6</v>
      </c>
      <c r="C103" s="6" t="s">
        <v>7</v>
      </c>
      <c r="D103" s="3" t="s">
        <v>150</v>
      </c>
      <c r="E103" s="3" t="s">
        <v>101</v>
      </c>
      <c r="F103" s="3" t="s">
        <v>54</v>
      </c>
      <c r="G103" s="2"/>
      <c r="H103" s="2">
        <v>3986049.45</v>
      </c>
      <c r="I103" s="4" t="s">
        <v>20</v>
      </c>
    </row>
    <row r="104" spans="1:9" ht="70">
      <c r="A104" s="1" t="s">
        <v>57</v>
      </c>
      <c r="B104" s="5" t="s">
        <v>6</v>
      </c>
      <c r="C104" s="6" t="s">
        <v>7</v>
      </c>
      <c r="D104" s="3" t="s">
        <v>150</v>
      </c>
      <c r="E104" s="3" t="s">
        <v>101</v>
      </c>
      <c r="F104" s="3" t="s">
        <v>58</v>
      </c>
      <c r="G104" s="2"/>
      <c r="H104" s="2">
        <v>31767269.800000001</v>
      </c>
      <c r="I104" s="4" t="s">
        <v>20</v>
      </c>
    </row>
    <row r="105" spans="1:9" ht="70">
      <c r="A105" s="1" t="s">
        <v>61</v>
      </c>
      <c r="B105" s="5" t="s">
        <v>6</v>
      </c>
      <c r="C105" s="6" t="s">
        <v>7</v>
      </c>
      <c r="D105" s="3" t="s">
        <v>150</v>
      </c>
      <c r="E105" s="3" t="s">
        <v>71</v>
      </c>
      <c r="F105" s="3" t="s">
        <v>62</v>
      </c>
      <c r="G105" s="2">
        <v>55723000</v>
      </c>
      <c r="H105" s="2">
        <v>55722988.280000001</v>
      </c>
      <c r="I105" s="4">
        <v>11.719999998807907</v>
      </c>
    </row>
    <row r="106" spans="1:9" ht="70">
      <c r="A106" s="1" t="s">
        <v>161</v>
      </c>
      <c r="B106" s="5" t="s">
        <v>6</v>
      </c>
      <c r="C106" s="6" t="s">
        <v>7</v>
      </c>
      <c r="D106" s="3" t="s">
        <v>150</v>
      </c>
      <c r="E106" s="3" t="s">
        <v>152</v>
      </c>
      <c r="F106" s="3" t="s">
        <v>64</v>
      </c>
      <c r="G106" s="2"/>
      <c r="H106" s="2">
        <v>119488.28</v>
      </c>
      <c r="I106" s="4" t="s">
        <v>20</v>
      </c>
    </row>
    <row r="107" spans="1:9" ht="84">
      <c r="A107" s="1" t="s">
        <v>162</v>
      </c>
      <c r="B107" s="5" t="s">
        <v>6</v>
      </c>
      <c r="C107" s="6" t="s">
        <v>7</v>
      </c>
      <c r="D107" s="3" t="s">
        <v>150</v>
      </c>
      <c r="E107" s="3" t="s">
        <v>163</v>
      </c>
      <c r="F107" s="3" t="s">
        <v>164</v>
      </c>
      <c r="G107" s="2"/>
      <c r="H107" s="2">
        <v>55603500</v>
      </c>
      <c r="I107" s="4" t="s">
        <v>20</v>
      </c>
    </row>
    <row r="108" spans="1:9" ht="56">
      <c r="A108" s="1" t="s">
        <v>65</v>
      </c>
      <c r="B108" s="5" t="s">
        <v>6</v>
      </c>
      <c r="C108" s="6" t="s">
        <v>7</v>
      </c>
      <c r="D108" s="3" t="s">
        <v>150</v>
      </c>
      <c r="E108" s="3" t="s">
        <v>71</v>
      </c>
      <c r="F108" s="3" t="s">
        <v>66</v>
      </c>
      <c r="G108" s="2">
        <v>18353200</v>
      </c>
      <c r="H108" s="2">
        <v>18064148.030000001</v>
      </c>
      <c r="I108" s="4">
        <v>289051.96999999881</v>
      </c>
    </row>
    <row r="109" spans="1:9" ht="56">
      <c r="A109" s="1" t="s">
        <v>165</v>
      </c>
      <c r="B109" s="5" t="s">
        <v>6</v>
      </c>
      <c r="C109" s="6" t="s">
        <v>7</v>
      </c>
      <c r="D109" s="3" t="s">
        <v>150</v>
      </c>
      <c r="E109" s="3" t="s">
        <v>152</v>
      </c>
      <c r="F109" s="3" t="s">
        <v>118</v>
      </c>
      <c r="G109" s="2"/>
      <c r="H109" s="2">
        <v>17749100</v>
      </c>
      <c r="I109" s="4" t="s">
        <v>20</v>
      </c>
    </row>
    <row r="110" spans="1:9" ht="56">
      <c r="A110" s="1" t="s">
        <v>166</v>
      </c>
      <c r="B110" s="5" t="s">
        <v>6</v>
      </c>
      <c r="C110" s="6" t="s">
        <v>7</v>
      </c>
      <c r="D110" s="3" t="s">
        <v>150</v>
      </c>
      <c r="E110" s="3" t="s">
        <v>152</v>
      </c>
      <c r="F110" s="3" t="s">
        <v>120</v>
      </c>
      <c r="G110" s="2"/>
      <c r="H110" s="2">
        <v>208205</v>
      </c>
      <c r="I110" s="4" t="s">
        <v>20</v>
      </c>
    </row>
    <row r="111" spans="1:9" ht="42">
      <c r="A111" s="1" t="s">
        <v>167</v>
      </c>
      <c r="B111" s="5" t="s">
        <v>6</v>
      </c>
      <c r="C111" s="6" t="s">
        <v>7</v>
      </c>
      <c r="D111" s="3" t="s">
        <v>150</v>
      </c>
      <c r="E111" s="3" t="s">
        <v>152</v>
      </c>
      <c r="F111" s="3" t="s">
        <v>122</v>
      </c>
      <c r="G111" s="2"/>
      <c r="H111" s="2">
        <v>106843.03</v>
      </c>
      <c r="I111" s="4" t="s">
        <v>20</v>
      </c>
    </row>
    <row r="112" spans="1:9" ht="42">
      <c r="A112" s="1" t="s">
        <v>168</v>
      </c>
      <c r="B112" s="5" t="s">
        <v>6</v>
      </c>
      <c r="C112" s="6" t="s">
        <v>7</v>
      </c>
      <c r="D112" s="3" t="s">
        <v>169</v>
      </c>
      <c r="E112" s="3"/>
      <c r="F112" s="3"/>
      <c r="G112" s="2">
        <v>289065300</v>
      </c>
      <c r="H112" s="2">
        <v>289059107.94999999</v>
      </c>
      <c r="I112" s="4">
        <v>6192.0500000119209</v>
      </c>
    </row>
    <row r="113" spans="1:9" ht="28">
      <c r="A113" s="1" t="s">
        <v>23</v>
      </c>
      <c r="B113" s="5" t="s">
        <v>6</v>
      </c>
      <c r="C113" s="6" t="s">
        <v>7</v>
      </c>
      <c r="D113" s="3" t="s">
        <v>169</v>
      </c>
      <c r="E113" s="3" t="s">
        <v>24</v>
      </c>
      <c r="F113" s="3"/>
      <c r="G113" s="2">
        <v>289065300</v>
      </c>
      <c r="H113" s="2">
        <v>289059107.94999999</v>
      </c>
      <c r="I113" s="4">
        <v>6192.0500000119209</v>
      </c>
    </row>
    <row r="114" spans="1:9" ht="56">
      <c r="A114" s="1" t="s">
        <v>69</v>
      </c>
      <c r="B114" s="5" t="s">
        <v>6</v>
      </c>
      <c r="C114" s="6" t="s">
        <v>7</v>
      </c>
      <c r="D114" s="3" t="s">
        <v>169</v>
      </c>
      <c r="E114" s="3" t="s">
        <v>70</v>
      </c>
      <c r="F114" s="3"/>
      <c r="G114" s="2">
        <v>289065300</v>
      </c>
      <c r="H114" s="2">
        <v>289059107.94999999</v>
      </c>
      <c r="I114" s="4">
        <v>6192.0500000119209</v>
      </c>
    </row>
    <row r="115" spans="1:9" ht="112">
      <c r="A115" s="1" t="s">
        <v>26</v>
      </c>
      <c r="B115" s="5" t="s">
        <v>6</v>
      </c>
      <c r="C115" s="6" t="s">
        <v>7</v>
      </c>
      <c r="D115" s="3" t="s">
        <v>169</v>
      </c>
      <c r="E115" s="3" t="s">
        <v>71</v>
      </c>
      <c r="F115" s="3" t="s">
        <v>28</v>
      </c>
      <c r="G115" s="2">
        <v>289065300</v>
      </c>
      <c r="H115" s="2">
        <v>289059107.94999999</v>
      </c>
      <c r="I115" s="4">
        <v>6192.0500000119209</v>
      </c>
    </row>
    <row r="116" spans="1:9" ht="56">
      <c r="A116" s="1" t="s">
        <v>151</v>
      </c>
      <c r="B116" s="5" t="s">
        <v>6</v>
      </c>
      <c r="C116" s="6" t="s">
        <v>7</v>
      </c>
      <c r="D116" s="3" t="s">
        <v>169</v>
      </c>
      <c r="E116" s="3" t="s">
        <v>152</v>
      </c>
      <c r="F116" s="3" t="s">
        <v>153</v>
      </c>
      <c r="G116" s="2"/>
      <c r="H116" s="2">
        <v>222030500</v>
      </c>
      <c r="I116" s="4" t="s">
        <v>20</v>
      </c>
    </row>
    <row r="117" spans="1:9" ht="70">
      <c r="A117" s="1" t="s">
        <v>154</v>
      </c>
      <c r="B117" s="5" t="s">
        <v>6</v>
      </c>
      <c r="C117" s="6" t="s">
        <v>7</v>
      </c>
      <c r="D117" s="3" t="s">
        <v>169</v>
      </c>
      <c r="E117" s="3" t="s">
        <v>152</v>
      </c>
      <c r="F117" s="3" t="s">
        <v>155</v>
      </c>
      <c r="G117" s="2"/>
      <c r="H117" s="2">
        <v>4146907.95</v>
      </c>
      <c r="I117" s="4" t="s">
        <v>20</v>
      </c>
    </row>
    <row r="118" spans="1:9" ht="84">
      <c r="A118" s="1" t="s">
        <v>156</v>
      </c>
      <c r="B118" s="5" t="s">
        <v>6</v>
      </c>
      <c r="C118" s="6" t="s">
        <v>7</v>
      </c>
      <c r="D118" s="3" t="s">
        <v>169</v>
      </c>
      <c r="E118" s="3" t="s">
        <v>152</v>
      </c>
      <c r="F118" s="3" t="s">
        <v>157</v>
      </c>
      <c r="G118" s="2"/>
      <c r="H118" s="2">
        <v>62881700</v>
      </c>
      <c r="I118" s="4" t="s">
        <v>20</v>
      </c>
    </row>
    <row r="119" spans="1:9" ht="28">
      <c r="A119" s="1" t="s">
        <v>170</v>
      </c>
      <c r="B119" s="5" t="s">
        <v>6</v>
      </c>
      <c r="C119" s="6" t="s">
        <v>7</v>
      </c>
      <c r="D119" s="3" t="s">
        <v>171</v>
      </c>
      <c r="E119" s="3"/>
      <c r="F119" s="3"/>
      <c r="G119" s="2">
        <v>2104243200</v>
      </c>
      <c r="H119" s="2">
        <v>2104243200</v>
      </c>
      <c r="I119" s="4">
        <v>0</v>
      </c>
    </row>
    <row r="120" spans="1:9" ht="28">
      <c r="A120" s="1" t="s">
        <v>172</v>
      </c>
      <c r="B120" s="5" t="s">
        <v>6</v>
      </c>
      <c r="C120" s="6" t="s">
        <v>7</v>
      </c>
      <c r="D120" s="3" t="s">
        <v>173</v>
      </c>
      <c r="E120" s="3"/>
      <c r="F120" s="3"/>
      <c r="G120" s="2">
        <v>2104243200</v>
      </c>
      <c r="H120" s="2">
        <v>2104243200</v>
      </c>
      <c r="I120" s="4">
        <v>0</v>
      </c>
    </row>
    <row r="121" spans="1:9" ht="28">
      <c r="A121" s="1" t="s">
        <v>23</v>
      </c>
      <c r="B121" s="5" t="s">
        <v>6</v>
      </c>
      <c r="C121" s="6" t="s">
        <v>7</v>
      </c>
      <c r="D121" s="3" t="s">
        <v>173</v>
      </c>
      <c r="E121" s="3" t="s">
        <v>24</v>
      </c>
      <c r="F121" s="3"/>
      <c r="G121" s="2">
        <v>2104243200</v>
      </c>
      <c r="H121" s="2">
        <v>2104243200</v>
      </c>
      <c r="I121" s="4">
        <v>0</v>
      </c>
    </row>
    <row r="122" spans="1:9" ht="56">
      <c r="A122" s="1" t="s">
        <v>69</v>
      </c>
      <c r="B122" s="5" t="s">
        <v>6</v>
      </c>
      <c r="C122" s="6" t="s">
        <v>7</v>
      </c>
      <c r="D122" s="3" t="s">
        <v>173</v>
      </c>
      <c r="E122" s="3" t="s">
        <v>70</v>
      </c>
      <c r="F122" s="3"/>
      <c r="G122" s="2">
        <v>2104243200</v>
      </c>
      <c r="H122" s="2">
        <v>2104243200</v>
      </c>
      <c r="I122" s="4">
        <v>0</v>
      </c>
    </row>
    <row r="123" spans="1:9" ht="84">
      <c r="A123" s="1" t="s">
        <v>108</v>
      </c>
      <c r="B123" s="5" t="s">
        <v>6</v>
      </c>
      <c r="C123" s="6" t="s">
        <v>7</v>
      </c>
      <c r="D123" s="3" t="s">
        <v>173</v>
      </c>
      <c r="E123" s="3" t="s">
        <v>71</v>
      </c>
      <c r="F123" s="3" t="s">
        <v>109</v>
      </c>
      <c r="G123" s="2">
        <v>443302800</v>
      </c>
      <c r="H123" s="2">
        <v>443302800</v>
      </c>
      <c r="I123" s="4">
        <v>0</v>
      </c>
    </row>
    <row r="124" spans="1:9" ht="98">
      <c r="A124" s="1" t="s">
        <v>110</v>
      </c>
      <c r="B124" s="5" t="s">
        <v>6</v>
      </c>
      <c r="C124" s="6" t="s">
        <v>7</v>
      </c>
      <c r="D124" s="3" t="s">
        <v>173</v>
      </c>
      <c r="E124" s="3" t="s">
        <v>111</v>
      </c>
      <c r="F124" s="3" t="s">
        <v>112</v>
      </c>
      <c r="G124" s="2"/>
      <c r="H124" s="2">
        <v>443302800</v>
      </c>
      <c r="I124" s="4" t="s">
        <v>20</v>
      </c>
    </row>
    <row r="125" spans="1:9" ht="84">
      <c r="A125" s="1" t="s">
        <v>174</v>
      </c>
      <c r="B125" s="5" t="s">
        <v>6</v>
      </c>
      <c r="C125" s="6" t="s">
        <v>7</v>
      </c>
      <c r="D125" s="3" t="s">
        <v>173</v>
      </c>
      <c r="E125" s="3" t="s">
        <v>71</v>
      </c>
      <c r="F125" s="3" t="s">
        <v>175</v>
      </c>
      <c r="G125" s="2">
        <v>1660940400</v>
      </c>
      <c r="H125" s="2">
        <v>1660940400</v>
      </c>
      <c r="I125" s="4">
        <v>0</v>
      </c>
    </row>
    <row r="126" spans="1:9" ht="98">
      <c r="A126" s="1" t="s">
        <v>176</v>
      </c>
      <c r="B126" s="5" t="s">
        <v>6</v>
      </c>
      <c r="C126" s="6" t="s">
        <v>7</v>
      </c>
      <c r="D126" s="3" t="s">
        <v>173</v>
      </c>
      <c r="E126" s="3" t="s">
        <v>152</v>
      </c>
      <c r="F126" s="3" t="s">
        <v>177</v>
      </c>
      <c r="G126" s="2"/>
      <c r="H126" s="2">
        <v>766601300</v>
      </c>
      <c r="I126" s="4" t="s">
        <v>20</v>
      </c>
    </row>
    <row r="127" spans="1:9" ht="56">
      <c r="A127" s="1" t="s">
        <v>178</v>
      </c>
      <c r="B127" s="5" t="s">
        <v>6</v>
      </c>
      <c r="C127" s="6" t="s">
        <v>7</v>
      </c>
      <c r="D127" s="3" t="s">
        <v>173</v>
      </c>
      <c r="E127" s="3" t="s">
        <v>152</v>
      </c>
      <c r="F127" s="3" t="s">
        <v>179</v>
      </c>
      <c r="G127" s="2"/>
      <c r="H127" s="2">
        <v>894339100</v>
      </c>
      <c r="I127" s="4" t="s">
        <v>20</v>
      </c>
    </row>
    <row r="128" spans="1:9" ht="28">
      <c r="A128" s="1" t="s">
        <v>180</v>
      </c>
      <c r="B128" s="5" t="s">
        <v>6</v>
      </c>
      <c r="C128" s="6" t="s">
        <v>7</v>
      </c>
      <c r="D128" s="3" t="s">
        <v>181</v>
      </c>
      <c r="E128" s="3"/>
      <c r="F128" s="3"/>
      <c r="G128" s="2">
        <v>22637147200</v>
      </c>
      <c r="H128" s="2">
        <v>22347529819.400002</v>
      </c>
      <c r="I128" s="4">
        <v>289617380.59999847</v>
      </c>
    </row>
    <row r="129" spans="1:9" ht="28">
      <c r="A129" s="1" t="s">
        <v>182</v>
      </c>
      <c r="B129" s="5" t="s">
        <v>6</v>
      </c>
      <c r="C129" s="6" t="s">
        <v>7</v>
      </c>
      <c r="D129" s="3" t="s">
        <v>183</v>
      </c>
      <c r="E129" s="3"/>
      <c r="F129" s="3"/>
      <c r="G129" s="2">
        <v>21440382200</v>
      </c>
      <c r="H129" s="2">
        <v>21184103581.959999</v>
      </c>
      <c r="I129" s="4">
        <v>256278618.04000092</v>
      </c>
    </row>
    <row r="130" spans="1:9" ht="28">
      <c r="A130" s="1" t="s">
        <v>184</v>
      </c>
      <c r="B130" s="5" t="s">
        <v>6</v>
      </c>
      <c r="C130" s="6" t="s">
        <v>7</v>
      </c>
      <c r="D130" s="3" t="s">
        <v>183</v>
      </c>
      <c r="E130" s="3" t="s">
        <v>185</v>
      </c>
      <c r="F130" s="3"/>
      <c r="G130" s="2">
        <v>21440382200</v>
      </c>
      <c r="H130" s="2">
        <v>21184103581.959999</v>
      </c>
      <c r="I130" s="4">
        <v>256278618.04000092</v>
      </c>
    </row>
    <row r="131" spans="1:9" ht="84">
      <c r="A131" s="1" t="s">
        <v>186</v>
      </c>
      <c r="B131" s="5" t="s">
        <v>6</v>
      </c>
      <c r="C131" s="6" t="s">
        <v>7</v>
      </c>
      <c r="D131" s="3" t="s">
        <v>183</v>
      </c>
      <c r="E131" s="3" t="s">
        <v>187</v>
      </c>
      <c r="F131" s="3" t="s">
        <v>6</v>
      </c>
      <c r="G131" s="2">
        <v>71136500</v>
      </c>
      <c r="H131" s="2">
        <v>67569061.450000003</v>
      </c>
      <c r="I131" s="4">
        <v>3567438.549999997</v>
      </c>
    </row>
    <row r="132" spans="1:9" ht="70">
      <c r="A132" s="1" t="s">
        <v>188</v>
      </c>
      <c r="B132" s="5" t="s">
        <v>6</v>
      </c>
      <c r="C132" s="6" t="s">
        <v>7</v>
      </c>
      <c r="D132" s="3" t="s">
        <v>183</v>
      </c>
      <c r="E132" s="3" t="s">
        <v>187</v>
      </c>
      <c r="F132" s="3" t="s">
        <v>54</v>
      </c>
      <c r="G132" s="2"/>
      <c r="H132" s="2">
        <v>67569061.450000003</v>
      </c>
      <c r="I132" s="4" t="s">
        <v>20</v>
      </c>
    </row>
    <row r="133" spans="1:9" ht="84">
      <c r="A133" s="1" t="s">
        <v>189</v>
      </c>
      <c r="B133" s="5" t="s">
        <v>6</v>
      </c>
      <c r="C133" s="6" t="s">
        <v>7</v>
      </c>
      <c r="D133" s="3" t="s">
        <v>183</v>
      </c>
      <c r="E133" s="3" t="s">
        <v>187</v>
      </c>
      <c r="F133" s="3" t="s">
        <v>62</v>
      </c>
      <c r="G133" s="2">
        <v>21369245700</v>
      </c>
      <c r="H133" s="2">
        <v>21116534520.509998</v>
      </c>
      <c r="I133" s="4">
        <v>252711179.49000168</v>
      </c>
    </row>
    <row r="134" spans="1:9" ht="70">
      <c r="A134" s="1" t="s">
        <v>190</v>
      </c>
      <c r="B134" s="5" t="s">
        <v>6</v>
      </c>
      <c r="C134" s="6" t="s">
        <v>7</v>
      </c>
      <c r="D134" s="3" t="s">
        <v>183</v>
      </c>
      <c r="E134" s="3" t="s">
        <v>187</v>
      </c>
      <c r="F134" s="3" t="s">
        <v>191</v>
      </c>
      <c r="G134" s="2"/>
      <c r="H134" s="2">
        <v>21116534520.509998</v>
      </c>
      <c r="I134" s="4" t="s">
        <v>20</v>
      </c>
    </row>
    <row r="135" spans="1:9" ht="28">
      <c r="A135" s="1" t="s">
        <v>192</v>
      </c>
      <c r="B135" s="5" t="s">
        <v>6</v>
      </c>
      <c r="C135" s="6" t="s">
        <v>7</v>
      </c>
      <c r="D135" s="3" t="s">
        <v>193</v>
      </c>
      <c r="E135" s="3"/>
      <c r="F135" s="3"/>
      <c r="G135" s="2">
        <v>1189773300</v>
      </c>
      <c r="H135" s="2">
        <v>1158784262.9100001</v>
      </c>
      <c r="I135" s="4">
        <v>30989037.089999914</v>
      </c>
    </row>
    <row r="136" spans="1:9" ht="42">
      <c r="A136" s="1" t="s">
        <v>194</v>
      </c>
      <c r="B136" s="5" t="s">
        <v>6</v>
      </c>
      <c r="C136" s="6" t="s">
        <v>7</v>
      </c>
      <c r="D136" s="3" t="s">
        <v>193</v>
      </c>
      <c r="E136" s="3" t="s">
        <v>195</v>
      </c>
      <c r="F136" s="3"/>
      <c r="G136" s="2">
        <v>271981800</v>
      </c>
      <c r="H136" s="2">
        <v>251185147.18000001</v>
      </c>
      <c r="I136" s="4">
        <v>20796652.819999993</v>
      </c>
    </row>
    <row r="137" spans="1:9" ht="70">
      <c r="A137" s="1" t="s">
        <v>196</v>
      </c>
      <c r="B137" s="5" t="s">
        <v>6</v>
      </c>
      <c r="C137" s="6" t="s">
        <v>7</v>
      </c>
      <c r="D137" s="3" t="s">
        <v>193</v>
      </c>
      <c r="E137" s="3" t="s">
        <v>197</v>
      </c>
      <c r="F137" s="3"/>
      <c r="G137" s="2">
        <v>1260700</v>
      </c>
      <c r="H137" s="2">
        <v>1178347.3500000001</v>
      </c>
      <c r="I137" s="4">
        <v>82352.649999999907</v>
      </c>
    </row>
    <row r="138" spans="1:9" ht="126">
      <c r="A138" s="1" t="s">
        <v>198</v>
      </c>
      <c r="B138" s="5" t="s">
        <v>6</v>
      </c>
      <c r="C138" s="6" t="s">
        <v>7</v>
      </c>
      <c r="D138" s="3" t="s">
        <v>193</v>
      </c>
      <c r="E138" s="3" t="s">
        <v>199</v>
      </c>
      <c r="F138" s="3" t="s">
        <v>62</v>
      </c>
      <c r="G138" s="2">
        <v>1214100</v>
      </c>
      <c r="H138" s="2">
        <v>1167739.1100000001</v>
      </c>
      <c r="I138" s="4">
        <v>46360.889999999898</v>
      </c>
    </row>
    <row r="139" spans="1:9" ht="140">
      <c r="A139" s="1" t="s">
        <v>200</v>
      </c>
      <c r="B139" s="5" t="s">
        <v>6</v>
      </c>
      <c r="C139" s="6" t="s">
        <v>7</v>
      </c>
      <c r="D139" s="3" t="s">
        <v>193</v>
      </c>
      <c r="E139" s="3" t="s">
        <v>199</v>
      </c>
      <c r="F139" s="3" t="s">
        <v>201</v>
      </c>
      <c r="G139" s="2"/>
      <c r="H139" s="2">
        <v>1167739.1100000001</v>
      </c>
      <c r="I139" s="4" t="s">
        <v>20</v>
      </c>
    </row>
    <row r="140" spans="1:9" ht="126">
      <c r="A140" s="1" t="s">
        <v>202</v>
      </c>
      <c r="B140" s="5" t="s">
        <v>6</v>
      </c>
      <c r="C140" s="6" t="s">
        <v>7</v>
      </c>
      <c r="D140" s="3" t="s">
        <v>193</v>
      </c>
      <c r="E140" s="3" t="s">
        <v>203</v>
      </c>
      <c r="F140" s="3" t="s">
        <v>62</v>
      </c>
      <c r="G140" s="2">
        <v>46600</v>
      </c>
      <c r="H140" s="2">
        <v>10608.24</v>
      </c>
      <c r="I140" s="4">
        <v>35991.760000000002</v>
      </c>
    </row>
    <row r="141" spans="1:9" ht="140">
      <c r="A141" s="1" t="s">
        <v>204</v>
      </c>
      <c r="B141" s="5" t="s">
        <v>6</v>
      </c>
      <c r="C141" s="6" t="s">
        <v>7</v>
      </c>
      <c r="D141" s="3" t="s">
        <v>193</v>
      </c>
      <c r="E141" s="3" t="s">
        <v>203</v>
      </c>
      <c r="F141" s="3" t="s">
        <v>201</v>
      </c>
      <c r="G141" s="2"/>
      <c r="H141" s="2">
        <v>10608.24</v>
      </c>
      <c r="I141" s="4" t="s">
        <v>20</v>
      </c>
    </row>
    <row r="142" spans="1:9" ht="56">
      <c r="A142" s="1" t="s">
        <v>205</v>
      </c>
      <c r="B142" s="5" t="s">
        <v>6</v>
      </c>
      <c r="C142" s="6" t="s">
        <v>7</v>
      </c>
      <c r="D142" s="3" t="s">
        <v>193</v>
      </c>
      <c r="E142" s="3" t="s">
        <v>206</v>
      </c>
      <c r="F142" s="3"/>
      <c r="G142" s="2">
        <v>1086000</v>
      </c>
      <c r="H142" s="2">
        <v>995000</v>
      </c>
      <c r="I142" s="4">
        <v>91000</v>
      </c>
    </row>
    <row r="143" spans="1:9" ht="84">
      <c r="A143" s="1" t="s">
        <v>207</v>
      </c>
      <c r="B143" s="5" t="s">
        <v>6</v>
      </c>
      <c r="C143" s="6" t="s">
        <v>7</v>
      </c>
      <c r="D143" s="3" t="s">
        <v>193</v>
      </c>
      <c r="E143" s="3" t="s">
        <v>208</v>
      </c>
      <c r="F143" s="3" t="s">
        <v>62</v>
      </c>
      <c r="G143" s="2">
        <v>976000</v>
      </c>
      <c r="H143" s="2">
        <v>885000</v>
      </c>
      <c r="I143" s="4">
        <v>91000</v>
      </c>
    </row>
    <row r="144" spans="1:9" ht="98">
      <c r="A144" s="1" t="s">
        <v>209</v>
      </c>
      <c r="B144" s="5" t="s">
        <v>6</v>
      </c>
      <c r="C144" s="6" t="s">
        <v>7</v>
      </c>
      <c r="D144" s="3" t="s">
        <v>193</v>
      </c>
      <c r="E144" s="3" t="s">
        <v>208</v>
      </c>
      <c r="F144" s="3" t="s">
        <v>201</v>
      </c>
      <c r="G144" s="2"/>
      <c r="H144" s="2">
        <v>885000</v>
      </c>
      <c r="I144" s="4" t="s">
        <v>20</v>
      </c>
    </row>
    <row r="145" spans="1:9" ht="70">
      <c r="A145" s="1" t="s">
        <v>210</v>
      </c>
      <c r="B145" s="5" t="s">
        <v>6</v>
      </c>
      <c r="C145" s="6" t="s">
        <v>7</v>
      </c>
      <c r="D145" s="3" t="s">
        <v>193</v>
      </c>
      <c r="E145" s="3" t="s">
        <v>211</v>
      </c>
      <c r="F145" s="3" t="s">
        <v>62</v>
      </c>
      <c r="G145" s="2">
        <v>110000</v>
      </c>
      <c r="H145" s="2">
        <v>110000</v>
      </c>
      <c r="I145" s="4">
        <v>0</v>
      </c>
    </row>
    <row r="146" spans="1:9" ht="84">
      <c r="A146" s="1" t="s">
        <v>212</v>
      </c>
      <c r="B146" s="5" t="s">
        <v>6</v>
      </c>
      <c r="C146" s="6" t="s">
        <v>7</v>
      </c>
      <c r="D146" s="3" t="s">
        <v>193</v>
      </c>
      <c r="E146" s="3" t="s">
        <v>211</v>
      </c>
      <c r="F146" s="3" t="s">
        <v>201</v>
      </c>
      <c r="G146" s="2"/>
      <c r="H146" s="2">
        <v>110000</v>
      </c>
      <c r="I146" s="4" t="s">
        <v>20</v>
      </c>
    </row>
    <row r="147" spans="1:9" ht="42">
      <c r="A147" s="1" t="s">
        <v>213</v>
      </c>
      <c r="B147" s="5" t="s">
        <v>6</v>
      </c>
      <c r="C147" s="6" t="s">
        <v>7</v>
      </c>
      <c r="D147" s="3" t="s">
        <v>193</v>
      </c>
      <c r="E147" s="3" t="s">
        <v>214</v>
      </c>
      <c r="F147" s="3"/>
      <c r="G147" s="2">
        <v>449000</v>
      </c>
      <c r="H147" s="2">
        <v>337903.23</v>
      </c>
      <c r="I147" s="4">
        <v>111096.77000000002</v>
      </c>
    </row>
    <row r="148" spans="1:9" ht="112">
      <c r="A148" s="1" t="s">
        <v>215</v>
      </c>
      <c r="B148" s="5" t="s">
        <v>6</v>
      </c>
      <c r="C148" s="6" t="s">
        <v>7</v>
      </c>
      <c r="D148" s="3" t="s">
        <v>193</v>
      </c>
      <c r="E148" s="3" t="s">
        <v>216</v>
      </c>
      <c r="F148" s="3" t="s">
        <v>62</v>
      </c>
      <c r="G148" s="2">
        <v>449000</v>
      </c>
      <c r="H148" s="2">
        <v>337903.23</v>
      </c>
      <c r="I148" s="4">
        <v>111096.77000000002</v>
      </c>
    </row>
    <row r="149" spans="1:9" ht="126">
      <c r="A149" s="1" t="s">
        <v>217</v>
      </c>
      <c r="B149" s="5" t="s">
        <v>6</v>
      </c>
      <c r="C149" s="6" t="s">
        <v>7</v>
      </c>
      <c r="D149" s="3" t="s">
        <v>193</v>
      </c>
      <c r="E149" s="3" t="s">
        <v>216</v>
      </c>
      <c r="F149" s="3" t="s">
        <v>201</v>
      </c>
      <c r="G149" s="2"/>
      <c r="H149" s="2">
        <v>337903.23</v>
      </c>
      <c r="I149" s="4" t="s">
        <v>20</v>
      </c>
    </row>
    <row r="150" spans="1:9" ht="56">
      <c r="A150" s="1" t="s">
        <v>218</v>
      </c>
      <c r="B150" s="5" t="s">
        <v>6</v>
      </c>
      <c r="C150" s="6" t="s">
        <v>7</v>
      </c>
      <c r="D150" s="3" t="s">
        <v>193</v>
      </c>
      <c r="E150" s="3" t="s">
        <v>219</v>
      </c>
      <c r="F150" s="3"/>
      <c r="G150" s="2">
        <v>128121200</v>
      </c>
      <c r="H150" s="2">
        <v>123012964.66</v>
      </c>
      <c r="I150" s="4">
        <v>5108235.3400000036</v>
      </c>
    </row>
    <row r="151" spans="1:9" ht="70">
      <c r="A151" s="1" t="s">
        <v>220</v>
      </c>
      <c r="B151" s="5" t="s">
        <v>6</v>
      </c>
      <c r="C151" s="6" t="s">
        <v>7</v>
      </c>
      <c r="D151" s="3" t="s">
        <v>193</v>
      </c>
      <c r="E151" s="3" t="s">
        <v>221</v>
      </c>
      <c r="F151" s="3" t="s">
        <v>62</v>
      </c>
      <c r="G151" s="2">
        <v>179100</v>
      </c>
      <c r="H151" s="2"/>
      <c r="I151" s="4">
        <v>179100</v>
      </c>
    </row>
    <row r="152" spans="1:9" ht="56">
      <c r="A152" s="1" t="s">
        <v>222</v>
      </c>
      <c r="B152" s="5" t="s">
        <v>6</v>
      </c>
      <c r="C152" s="6" t="s">
        <v>7</v>
      </c>
      <c r="D152" s="3" t="s">
        <v>193</v>
      </c>
      <c r="E152" s="3" t="s">
        <v>223</v>
      </c>
      <c r="F152" s="3" t="s">
        <v>62</v>
      </c>
      <c r="G152" s="2">
        <v>1417800</v>
      </c>
      <c r="H152" s="2">
        <v>1104101</v>
      </c>
      <c r="I152" s="4">
        <v>313699</v>
      </c>
    </row>
    <row r="153" spans="1:9" ht="70">
      <c r="A153" s="1" t="s">
        <v>224</v>
      </c>
      <c r="B153" s="5" t="s">
        <v>6</v>
      </c>
      <c r="C153" s="6" t="s">
        <v>7</v>
      </c>
      <c r="D153" s="3" t="s">
        <v>193</v>
      </c>
      <c r="E153" s="3" t="s">
        <v>223</v>
      </c>
      <c r="F153" s="3" t="s">
        <v>201</v>
      </c>
      <c r="G153" s="2"/>
      <c r="H153" s="2">
        <v>1104101</v>
      </c>
      <c r="I153" s="4" t="s">
        <v>20</v>
      </c>
    </row>
    <row r="154" spans="1:9" ht="56">
      <c r="A154" s="1" t="s">
        <v>225</v>
      </c>
      <c r="B154" s="5" t="s">
        <v>6</v>
      </c>
      <c r="C154" s="6" t="s">
        <v>7</v>
      </c>
      <c r="D154" s="3" t="s">
        <v>193</v>
      </c>
      <c r="E154" s="3" t="s">
        <v>226</v>
      </c>
      <c r="F154" s="3" t="s">
        <v>62</v>
      </c>
      <c r="G154" s="2">
        <v>5274800</v>
      </c>
      <c r="H154" s="2">
        <v>4701432.87</v>
      </c>
      <c r="I154" s="4">
        <v>573367.12999999989</v>
      </c>
    </row>
    <row r="155" spans="1:9" ht="70">
      <c r="A155" s="1" t="s">
        <v>227</v>
      </c>
      <c r="B155" s="5" t="s">
        <v>6</v>
      </c>
      <c r="C155" s="6" t="s">
        <v>7</v>
      </c>
      <c r="D155" s="3" t="s">
        <v>193</v>
      </c>
      <c r="E155" s="3" t="s">
        <v>226</v>
      </c>
      <c r="F155" s="3" t="s">
        <v>201</v>
      </c>
      <c r="G155" s="2"/>
      <c r="H155" s="2">
        <v>4701432.87</v>
      </c>
      <c r="I155" s="4" t="s">
        <v>20</v>
      </c>
    </row>
    <row r="156" spans="1:9" ht="56">
      <c r="A156" s="1" t="s">
        <v>228</v>
      </c>
      <c r="B156" s="5" t="s">
        <v>6</v>
      </c>
      <c r="C156" s="6" t="s">
        <v>7</v>
      </c>
      <c r="D156" s="3" t="s">
        <v>193</v>
      </c>
      <c r="E156" s="3" t="s">
        <v>229</v>
      </c>
      <c r="F156" s="3" t="s">
        <v>62</v>
      </c>
      <c r="G156" s="2">
        <v>121249500</v>
      </c>
      <c r="H156" s="2">
        <v>117207430.79000001</v>
      </c>
      <c r="I156" s="4">
        <v>4042069.2099999934</v>
      </c>
    </row>
    <row r="157" spans="1:9" ht="70">
      <c r="A157" s="1" t="s">
        <v>230</v>
      </c>
      <c r="B157" s="5" t="s">
        <v>6</v>
      </c>
      <c r="C157" s="6" t="s">
        <v>7</v>
      </c>
      <c r="D157" s="3" t="s">
        <v>193</v>
      </c>
      <c r="E157" s="3" t="s">
        <v>229</v>
      </c>
      <c r="F157" s="3" t="s">
        <v>201</v>
      </c>
      <c r="G157" s="2"/>
      <c r="H157" s="2">
        <v>117207430.79000001</v>
      </c>
      <c r="I157" s="4" t="s">
        <v>20</v>
      </c>
    </row>
    <row r="158" spans="1:9" ht="140">
      <c r="A158" s="1" t="s">
        <v>231</v>
      </c>
      <c r="B158" s="5" t="s">
        <v>6</v>
      </c>
      <c r="C158" s="6" t="s">
        <v>7</v>
      </c>
      <c r="D158" s="3" t="s">
        <v>193</v>
      </c>
      <c r="E158" s="3" t="s">
        <v>232</v>
      </c>
      <c r="F158" s="3"/>
      <c r="G158" s="2">
        <v>141064900</v>
      </c>
      <c r="H158" s="2">
        <v>125660931.94</v>
      </c>
      <c r="I158" s="4">
        <v>15403968.060000002</v>
      </c>
    </row>
    <row r="159" spans="1:9" ht="70">
      <c r="A159" s="1" t="s">
        <v>233</v>
      </c>
      <c r="B159" s="5" t="s">
        <v>6</v>
      </c>
      <c r="C159" s="6" t="s">
        <v>7</v>
      </c>
      <c r="D159" s="3" t="s">
        <v>193</v>
      </c>
      <c r="E159" s="3" t="s">
        <v>234</v>
      </c>
      <c r="F159" s="3" t="s">
        <v>62</v>
      </c>
      <c r="G159" s="2">
        <v>568100</v>
      </c>
      <c r="H159" s="2">
        <v>337701.91</v>
      </c>
      <c r="I159" s="4">
        <v>230398.09000000003</v>
      </c>
    </row>
    <row r="160" spans="1:9" ht="84">
      <c r="A160" s="1" t="s">
        <v>235</v>
      </c>
      <c r="B160" s="5" t="s">
        <v>6</v>
      </c>
      <c r="C160" s="6" t="s">
        <v>7</v>
      </c>
      <c r="D160" s="3" t="s">
        <v>193</v>
      </c>
      <c r="E160" s="3" t="s">
        <v>234</v>
      </c>
      <c r="F160" s="3" t="s">
        <v>201</v>
      </c>
      <c r="G160" s="2"/>
      <c r="H160" s="2">
        <v>337701.91</v>
      </c>
      <c r="I160" s="4" t="s">
        <v>20</v>
      </c>
    </row>
    <row r="161" spans="1:9" ht="210">
      <c r="A161" s="1" t="s">
        <v>236</v>
      </c>
      <c r="B161" s="5" t="s">
        <v>6</v>
      </c>
      <c r="C161" s="6" t="s">
        <v>7</v>
      </c>
      <c r="D161" s="3" t="s">
        <v>193</v>
      </c>
      <c r="E161" s="3" t="s">
        <v>237</v>
      </c>
      <c r="F161" s="3" t="s">
        <v>62</v>
      </c>
      <c r="G161" s="2">
        <v>9408100</v>
      </c>
      <c r="H161" s="2">
        <v>628051.07999999996</v>
      </c>
      <c r="I161" s="4">
        <v>8780048.9199999999</v>
      </c>
    </row>
    <row r="162" spans="1:9" ht="224">
      <c r="A162" s="1" t="s">
        <v>238</v>
      </c>
      <c r="B162" s="5" t="s">
        <v>6</v>
      </c>
      <c r="C162" s="6" t="s">
        <v>7</v>
      </c>
      <c r="D162" s="3" t="s">
        <v>193</v>
      </c>
      <c r="E162" s="3" t="s">
        <v>237</v>
      </c>
      <c r="F162" s="3" t="s">
        <v>201</v>
      </c>
      <c r="G162" s="2"/>
      <c r="H162" s="2">
        <v>628051.07999999996</v>
      </c>
      <c r="I162" s="4" t="s">
        <v>20</v>
      </c>
    </row>
    <row r="163" spans="1:9" ht="56">
      <c r="A163" s="1" t="s">
        <v>239</v>
      </c>
      <c r="B163" s="5" t="s">
        <v>6</v>
      </c>
      <c r="C163" s="6" t="s">
        <v>7</v>
      </c>
      <c r="D163" s="3" t="s">
        <v>193</v>
      </c>
      <c r="E163" s="3" t="s">
        <v>240</v>
      </c>
      <c r="F163" s="3" t="s">
        <v>62</v>
      </c>
      <c r="G163" s="2">
        <v>260800</v>
      </c>
      <c r="H163" s="2">
        <v>260786.71</v>
      </c>
      <c r="I163" s="4">
        <v>13.290000000008149</v>
      </c>
    </row>
    <row r="164" spans="1:9" ht="70">
      <c r="A164" s="1" t="s">
        <v>241</v>
      </c>
      <c r="B164" s="5" t="s">
        <v>6</v>
      </c>
      <c r="C164" s="6" t="s">
        <v>7</v>
      </c>
      <c r="D164" s="3" t="s">
        <v>193</v>
      </c>
      <c r="E164" s="3" t="s">
        <v>240</v>
      </c>
      <c r="F164" s="3" t="s">
        <v>201</v>
      </c>
      <c r="G164" s="2"/>
      <c r="H164" s="2">
        <v>260786.71</v>
      </c>
      <c r="I164" s="4" t="s">
        <v>20</v>
      </c>
    </row>
    <row r="165" spans="1:9" ht="224">
      <c r="A165" s="1" t="s">
        <v>242</v>
      </c>
      <c r="B165" s="5" t="s">
        <v>6</v>
      </c>
      <c r="C165" s="6" t="s">
        <v>7</v>
      </c>
      <c r="D165" s="3" t="s">
        <v>193</v>
      </c>
      <c r="E165" s="3" t="s">
        <v>243</v>
      </c>
      <c r="F165" s="3" t="s">
        <v>62</v>
      </c>
      <c r="G165" s="2">
        <v>104000</v>
      </c>
      <c r="H165" s="2">
        <v>103957.07</v>
      </c>
      <c r="I165" s="4">
        <v>42.929999999993015</v>
      </c>
    </row>
    <row r="166" spans="1:9" ht="238">
      <c r="A166" s="1" t="s">
        <v>244</v>
      </c>
      <c r="B166" s="5" t="s">
        <v>6</v>
      </c>
      <c r="C166" s="6" t="s">
        <v>7</v>
      </c>
      <c r="D166" s="3" t="s">
        <v>193</v>
      </c>
      <c r="E166" s="3" t="s">
        <v>243</v>
      </c>
      <c r="F166" s="3" t="s">
        <v>201</v>
      </c>
      <c r="G166" s="2"/>
      <c r="H166" s="2">
        <v>103957.07</v>
      </c>
      <c r="I166" s="4" t="s">
        <v>20</v>
      </c>
    </row>
    <row r="167" spans="1:9" ht="70">
      <c r="A167" s="1" t="s">
        <v>61</v>
      </c>
      <c r="B167" s="5" t="s">
        <v>6</v>
      </c>
      <c r="C167" s="6" t="s">
        <v>7</v>
      </c>
      <c r="D167" s="3" t="s">
        <v>193</v>
      </c>
      <c r="E167" s="3" t="s">
        <v>245</v>
      </c>
      <c r="F167" s="3" t="s">
        <v>62</v>
      </c>
      <c r="G167" s="2">
        <v>130723900</v>
      </c>
      <c r="H167" s="2">
        <v>124330435.17</v>
      </c>
      <c r="I167" s="4">
        <v>6393464.8299999982</v>
      </c>
    </row>
    <row r="168" spans="1:9" ht="126">
      <c r="A168" s="1" t="s">
        <v>246</v>
      </c>
      <c r="B168" s="5" t="s">
        <v>6</v>
      </c>
      <c r="C168" s="6" t="s">
        <v>7</v>
      </c>
      <c r="D168" s="3" t="s">
        <v>193</v>
      </c>
      <c r="E168" s="3" t="s">
        <v>247</v>
      </c>
      <c r="F168" s="3" t="s">
        <v>64</v>
      </c>
      <c r="G168" s="2"/>
      <c r="H168" s="2">
        <v>129083</v>
      </c>
      <c r="I168" s="4" t="s">
        <v>20</v>
      </c>
    </row>
    <row r="169" spans="1:9" ht="98">
      <c r="A169" s="1" t="s">
        <v>248</v>
      </c>
      <c r="B169" s="5" t="s">
        <v>6</v>
      </c>
      <c r="C169" s="6" t="s">
        <v>7</v>
      </c>
      <c r="D169" s="3" t="s">
        <v>193</v>
      </c>
      <c r="E169" s="3" t="s">
        <v>249</v>
      </c>
      <c r="F169" s="3" t="s">
        <v>64</v>
      </c>
      <c r="G169" s="2"/>
      <c r="H169" s="2">
        <v>124201352.17</v>
      </c>
      <c r="I169" s="4" t="s">
        <v>20</v>
      </c>
    </row>
    <row r="170" spans="1:9" ht="70">
      <c r="A170" s="1" t="s">
        <v>135</v>
      </c>
      <c r="B170" s="5" t="s">
        <v>6</v>
      </c>
      <c r="C170" s="6" t="s">
        <v>7</v>
      </c>
      <c r="D170" s="3" t="s">
        <v>193</v>
      </c>
      <c r="E170" s="3" t="s">
        <v>136</v>
      </c>
      <c r="F170" s="3"/>
      <c r="G170" s="2">
        <v>33088500</v>
      </c>
      <c r="H170" s="2">
        <v>33088500</v>
      </c>
      <c r="I170" s="4">
        <v>0</v>
      </c>
    </row>
    <row r="171" spans="1:9" ht="56">
      <c r="A171" s="1" t="s">
        <v>250</v>
      </c>
      <c r="B171" s="5" t="s">
        <v>6</v>
      </c>
      <c r="C171" s="6" t="s">
        <v>7</v>
      </c>
      <c r="D171" s="3" t="s">
        <v>193</v>
      </c>
      <c r="E171" s="3" t="s">
        <v>251</v>
      </c>
      <c r="F171" s="3"/>
      <c r="G171" s="2">
        <v>33088500</v>
      </c>
      <c r="H171" s="2">
        <v>33088500</v>
      </c>
      <c r="I171" s="4">
        <v>0</v>
      </c>
    </row>
    <row r="172" spans="1:9" ht="56">
      <c r="A172" s="1" t="s">
        <v>252</v>
      </c>
      <c r="B172" s="5" t="s">
        <v>6</v>
      </c>
      <c r="C172" s="6" t="s">
        <v>7</v>
      </c>
      <c r="D172" s="3" t="s">
        <v>193</v>
      </c>
      <c r="E172" s="3" t="s">
        <v>253</v>
      </c>
      <c r="F172" s="3" t="s">
        <v>62</v>
      </c>
      <c r="G172" s="2">
        <v>33088500</v>
      </c>
      <c r="H172" s="2">
        <v>33088500</v>
      </c>
      <c r="I172" s="4">
        <v>0</v>
      </c>
    </row>
    <row r="173" spans="1:9" ht="56">
      <c r="A173" s="1" t="s">
        <v>254</v>
      </c>
      <c r="B173" s="5" t="s">
        <v>6</v>
      </c>
      <c r="C173" s="6" t="s">
        <v>7</v>
      </c>
      <c r="D173" s="3" t="s">
        <v>193</v>
      </c>
      <c r="E173" s="3" t="s">
        <v>253</v>
      </c>
      <c r="F173" s="3" t="s">
        <v>255</v>
      </c>
      <c r="G173" s="2"/>
      <c r="H173" s="2">
        <v>33088500</v>
      </c>
      <c r="I173" s="4" t="s">
        <v>20</v>
      </c>
    </row>
    <row r="174" spans="1:9" ht="28">
      <c r="A174" s="1" t="s">
        <v>23</v>
      </c>
      <c r="B174" s="5" t="s">
        <v>6</v>
      </c>
      <c r="C174" s="6" t="s">
        <v>7</v>
      </c>
      <c r="D174" s="3" t="s">
        <v>193</v>
      </c>
      <c r="E174" s="3" t="s">
        <v>24</v>
      </c>
      <c r="F174" s="3"/>
      <c r="G174" s="2">
        <v>884703000</v>
      </c>
      <c r="H174" s="2">
        <v>874510615.73000002</v>
      </c>
      <c r="I174" s="4">
        <v>10192384.269999981</v>
      </c>
    </row>
    <row r="175" spans="1:9" ht="42">
      <c r="A175" s="1" t="s">
        <v>5</v>
      </c>
      <c r="B175" s="5" t="s">
        <v>6</v>
      </c>
      <c r="C175" s="6" t="s">
        <v>7</v>
      </c>
      <c r="D175" s="3" t="s">
        <v>193</v>
      </c>
      <c r="E175" s="3" t="s">
        <v>25</v>
      </c>
      <c r="F175" s="3"/>
      <c r="G175" s="2">
        <v>391997800</v>
      </c>
      <c r="H175" s="2">
        <v>391997715.63</v>
      </c>
      <c r="I175" s="4">
        <v>84.370000004768372</v>
      </c>
    </row>
    <row r="176" spans="1:9" ht="112">
      <c r="A176" s="1" t="s">
        <v>26</v>
      </c>
      <c r="B176" s="5" t="s">
        <v>6</v>
      </c>
      <c r="C176" s="6" t="s">
        <v>7</v>
      </c>
      <c r="D176" s="3" t="s">
        <v>193</v>
      </c>
      <c r="E176" s="3" t="s">
        <v>27</v>
      </c>
      <c r="F176" s="3" t="s">
        <v>28</v>
      </c>
      <c r="G176" s="2">
        <v>543900</v>
      </c>
      <c r="H176" s="2">
        <v>543891.39</v>
      </c>
      <c r="I176" s="4">
        <v>8.6099999999860302</v>
      </c>
    </row>
    <row r="177" spans="1:9" ht="70">
      <c r="A177" s="1" t="s">
        <v>256</v>
      </c>
      <c r="B177" s="5" t="s">
        <v>6</v>
      </c>
      <c r="C177" s="6" t="s">
        <v>7</v>
      </c>
      <c r="D177" s="3" t="s">
        <v>193</v>
      </c>
      <c r="E177" s="3" t="s">
        <v>257</v>
      </c>
      <c r="F177" s="3" t="s">
        <v>39</v>
      </c>
      <c r="G177" s="2"/>
      <c r="H177" s="2">
        <v>543891.39</v>
      </c>
      <c r="I177" s="4" t="s">
        <v>20</v>
      </c>
    </row>
    <row r="178" spans="1:9" ht="70">
      <c r="A178" s="1" t="s">
        <v>61</v>
      </c>
      <c r="B178" s="5" t="s">
        <v>6</v>
      </c>
      <c r="C178" s="6" t="s">
        <v>7</v>
      </c>
      <c r="D178" s="3" t="s">
        <v>193</v>
      </c>
      <c r="E178" s="3" t="s">
        <v>27</v>
      </c>
      <c r="F178" s="3" t="s">
        <v>62</v>
      </c>
      <c r="G178" s="2">
        <v>391453900</v>
      </c>
      <c r="H178" s="2">
        <v>391453824.24000001</v>
      </c>
      <c r="I178" s="4">
        <v>75.759999990463257</v>
      </c>
    </row>
    <row r="179" spans="1:9" ht="112">
      <c r="A179" s="1" t="s">
        <v>258</v>
      </c>
      <c r="B179" s="5" t="s">
        <v>6</v>
      </c>
      <c r="C179" s="6" t="s">
        <v>7</v>
      </c>
      <c r="D179" s="3" t="s">
        <v>193</v>
      </c>
      <c r="E179" s="3" t="s">
        <v>259</v>
      </c>
      <c r="F179" s="3" t="s">
        <v>255</v>
      </c>
      <c r="G179" s="2"/>
      <c r="H179" s="2">
        <v>391453824.24000001</v>
      </c>
      <c r="I179" s="4" t="s">
        <v>20</v>
      </c>
    </row>
    <row r="180" spans="1:9" ht="56">
      <c r="A180" s="1" t="s">
        <v>69</v>
      </c>
      <c r="B180" s="5" t="s">
        <v>6</v>
      </c>
      <c r="C180" s="6" t="s">
        <v>7</v>
      </c>
      <c r="D180" s="3" t="s">
        <v>193</v>
      </c>
      <c r="E180" s="3" t="s">
        <v>70</v>
      </c>
      <c r="F180" s="3"/>
      <c r="G180" s="2">
        <v>492705200</v>
      </c>
      <c r="H180" s="2">
        <v>482512900.10000002</v>
      </c>
      <c r="I180" s="4">
        <v>10192299.899999976</v>
      </c>
    </row>
    <row r="181" spans="1:9" ht="112">
      <c r="A181" s="1" t="s">
        <v>26</v>
      </c>
      <c r="B181" s="5" t="s">
        <v>6</v>
      </c>
      <c r="C181" s="6" t="s">
        <v>7</v>
      </c>
      <c r="D181" s="3" t="s">
        <v>193</v>
      </c>
      <c r="E181" s="3" t="s">
        <v>71</v>
      </c>
      <c r="F181" s="3" t="s">
        <v>28</v>
      </c>
      <c r="G181" s="2">
        <v>84044500</v>
      </c>
      <c r="H181" s="2">
        <v>73852297.909999996</v>
      </c>
      <c r="I181" s="4">
        <v>10192202.090000004</v>
      </c>
    </row>
    <row r="182" spans="1:9" ht="70">
      <c r="A182" s="1" t="s">
        <v>260</v>
      </c>
      <c r="B182" s="5" t="s">
        <v>6</v>
      </c>
      <c r="C182" s="6" t="s">
        <v>7</v>
      </c>
      <c r="D182" s="3" t="s">
        <v>193</v>
      </c>
      <c r="E182" s="3" t="s">
        <v>261</v>
      </c>
      <c r="F182" s="3" t="s">
        <v>155</v>
      </c>
      <c r="G182" s="2"/>
      <c r="H182" s="2">
        <v>716666.67</v>
      </c>
      <c r="I182" s="4" t="s">
        <v>20</v>
      </c>
    </row>
    <row r="183" spans="1:9" ht="84">
      <c r="A183" s="1" t="s">
        <v>262</v>
      </c>
      <c r="B183" s="5" t="s">
        <v>6</v>
      </c>
      <c r="C183" s="6" t="s">
        <v>7</v>
      </c>
      <c r="D183" s="3" t="s">
        <v>193</v>
      </c>
      <c r="E183" s="3" t="s">
        <v>261</v>
      </c>
      <c r="F183" s="3" t="s">
        <v>157</v>
      </c>
      <c r="G183" s="2"/>
      <c r="H183" s="2">
        <v>216433.33</v>
      </c>
      <c r="I183" s="4" t="s">
        <v>20</v>
      </c>
    </row>
    <row r="184" spans="1:9" ht="70">
      <c r="A184" s="1" t="s">
        <v>263</v>
      </c>
      <c r="B184" s="5" t="s">
        <v>6</v>
      </c>
      <c r="C184" s="6" t="s">
        <v>7</v>
      </c>
      <c r="D184" s="3" t="s">
        <v>193</v>
      </c>
      <c r="E184" s="3" t="s">
        <v>261</v>
      </c>
      <c r="F184" s="3" t="s">
        <v>33</v>
      </c>
      <c r="G184" s="2"/>
      <c r="H184" s="2">
        <v>67776666.659999996</v>
      </c>
      <c r="I184" s="4" t="s">
        <v>20</v>
      </c>
    </row>
    <row r="185" spans="1:9" ht="98">
      <c r="A185" s="1" t="s">
        <v>264</v>
      </c>
      <c r="B185" s="5" t="s">
        <v>6</v>
      </c>
      <c r="C185" s="6" t="s">
        <v>7</v>
      </c>
      <c r="D185" s="3" t="s">
        <v>193</v>
      </c>
      <c r="E185" s="3" t="s">
        <v>261</v>
      </c>
      <c r="F185" s="3" t="s">
        <v>35</v>
      </c>
      <c r="G185" s="2"/>
      <c r="H185" s="2">
        <v>5142531.25</v>
      </c>
      <c r="I185" s="4" t="s">
        <v>20</v>
      </c>
    </row>
    <row r="186" spans="1:9" ht="70">
      <c r="A186" s="1" t="s">
        <v>61</v>
      </c>
      <c r="B186" s="5" t="s">
        <v>6</v>
      </c>
      <c r="C186" s="6" t="s">
        <v>7</v>
      </c>
      <c r="D186" s="3" t="s">
        <v>193</v>
      </c>
      <c r="E186" s="3" t="s">
        <v>71</v>
      </c>
      <c r="F186" s="3" t="s">
        <v>62</v>
      </c>
      <c r="G186" s="2">
        <v>408660700</v>
      </c>
      <c r="H186" s="2">
        <v>408660602.19</v>
      </c>
      <c r="I186" s="4">
        <v>97.810000002384186</v>
      </c>
    </row>
    <row r="187" spans="1:9" ht="56">
      <c r="A187" s="1" t="s">
        <v>265</v>
      </c>
      <c r="B187" s="5" t="s">
        <v>6</v>
      </c>
      <c r="C187" s="6" t="s">
        <v>7</v>
      </c>
      <c r="D187" s="3" t="s">
        <v>193</v>
      </c>
      <c r="E187" s="3" t="s">
        <v>266</v>
      </c>
      <c r="F187" s="3" t="s">
        <v>255</v>
      </c>
      <c r="G187" s="2"/>
      <c r="H187" s="2">
        <v>408660602.19</v>
      </c>
      <c r="I187" s="4" t="s">
        <v>20</v>
      </c>
    </row>
    <row r="188" spans="1:9" ht="28">
      <c r="A188" s="1" t="s">
        <v>267</v>
      </c>
      <c r="B188" s="5" t="s">
        <v>6</v>
      </c>
      <c r="C188" s="6" t="s">
        <v>7</v>
      </c>
      <c r="D188" s="3" t="s">
        <v>268</v>
      </c>
      <c r="E188" s="3"/>
      <c r="F188" s="3"/>
      <c r="G188" s="2">
        <v>6991700</v>
      </c>
      <c r="H188" s="2">
        <v>4641974.53</v>
      </c>
      <c r="I188" s="4">
        <v>2349725.4699999997</v>
      </c>
    </row>
    <row r="189" spans="1:9" ht="42">
      <c r="A189" s="1" t="s">
        <v>194</v>
      </c>
      <c r="B189" s="5" t="s">
        <v>6</v>
      </c>
      <c r="C189" s="6" t="s">
        <v>7</v>
      </c>
      <c r="D189" s="3" t="s">
        <v>268</v>
      </c>
      <c r="E189" s="3" t="s">
        <v>195</v>
      </c>
      <c r="F189" s="3"/>
      <c r="G189" s="2">
        <v>6991700</v>
      </c>
      <c r="H189" s="2">
        <v>4641974.53</v>
      </c>
      <c r="I189" s="4">
        <v>2349725.4699999997</v>
      </c>
    </row>
    <row r="190" spans="1:9" ht="42">
      <c r="A190" s="1" t="s">
        <v>269</v>
      </c>
      <c r="B190" s="5" t="s">
        <v>6</v>
      </c>
      <c r="C190" s="6" t="s">
        <v>7</v>
      </c>
      <c r="D190" s="3" t="s">
        <v>268</v>
      </c>
      <c r="E190" s="3" t="s">
        <v>270</v>
      </c>
      <c r="F190" s="3"/>
      <c r="G190" s="2">
        <v>3487100</v>
      </c>
      <c r="H190" s="2">
        <v>1137374.53</v>
      </c>
      <c r="I190" s="4">
        <v>2349725.4699999997</v>
      </c>
    </row>
    <row r="191" spans="1:9" ht="112">
      <c r="A191" s="1" t="s">
        <v>26</v>
      </c>
      <c r="B191" s="5" t="s">
        <v>6</v>
      </c>
      <c r="C191" s="6" t="s">
        <v>7</v>
      </c>
      <c r="D191" s="3" t="s">
        <v>268</v>
      </c>
      <c r="E191" s="3" t="s">
        <v>271</v>
      </c>
      <c r="F191" s="3" t="s">
        <v>28</v>
      </c>
      <c r="G191" s="2">
        <v>3487100</v>
      </c>
      <c r="H191" s="2">
        <v>1137374.53</v>
      </c>
      <c r="I191" s="4">
        <v>2349725.4699999997</v>
      </c>
    </row>
    <row r="192" spans="1:9" ht="70">
      <c r="A192" s="1" t="s">
        <v>272</v>
      </c>
      <c r="B192" s="5" t="s">
        <v>6</v>
      </c>
      <c r="C192" s="6" t="s">
        <v>7</v>
      </c>
      <c r="D192" s="3" t="s">
        <v>268</v>
      </c>
      <c r="E192" s="3" t="s">
        <v>273</v>
      </c>
      <c r="F192" s="3" t="s">
        <v>44</v>
      </c>
      <c r="G192" s="2"/>
      <c r="H192" s="2">
        <v>352142.92</v>
      </c>
      <c r="I192" s="4" t="s">
        <v>20</v>
      </c>
    </row>
    <row r="193" spans="1:9" ht="56">
      <c r="A193" s="1" t="s">
        <v>274</v>
      </c>
      <c r="B193" s="5" t="s">
        <v>6</v>
      </c>
      <c r="C193" s="6" t="s">
        <v>7</v>
      </c>
      <c r="D193" s="3" t="s">
        <v>268</v>
      </c>
      <c r="E193" s="3" t="s">
        <v>275</v>
      </c>
      <c r="F193" s="3" t="s">
        <v>39</v>
      </c>
      <c r="G193" s="2"/>
      <c r="H193" s="2">
        <v>785231.61</v>
      </c>
      <c r="I193" s="4" t="s">
        <v>20</v>
      </c>
    </row>
    <row r="194" spans="1:9" ht="84">
      <c r="A194" s="1" t="s">
        <v>276</v>
      </c>
      <c r="B194" s="5" t="s">
        <v>6</v>
      </c>
      <c r="C194" s="6" t="s">
        <v>7</v>
      </c>
      <c r="D194" s="3" t="s">
        <v>268</v>
      </c>
      <c r="E194" s="3" t="s">
        <v>277</v>
      </c>
      <c r="F194" s="3"/>
      <c r="G194" s="2">
        <v>3504600</v>
      </c>
      <c r="H194" s="2">
        <v>3504600</v>
      </c>
      <c r="I194" s="4">
        <v>0</v>
      </c>
    </row>
    <row r="195" spans="1:9" ht="70">
      <c r="A195" s="1" t="s">
        <v>61</v>
      </c>
      <c r="B195" s="5" t="s">
        <v>6</v>
      </c>
      <c r="C195" s="6" t="s">
        <v>7</v>
      </c>
      <c r="D195" s="3" t="s">
        <v>268</v>
      </c>
      <c r="E195" s="3" t="s">
        <v>278</v>
      </c>
      <c r="F195" s="3" t="s">
        <v>62</v>
      </c>
      <c r="G195" s="2">
        <v>3504600</v>
      </c>
      <c r="H195" s="2">
        <v>3504600</v>
      </c>
      <c r="I195" s="4">
        <v>0</v>
      </c>
    </row>
    <row r="196" spans="1:9" ht="196">
      <c r="A196" s="1" t="s">
        <v>279</v>
      </c>
      <c r="B196" s="5" t="s">
        <v>6</v>
      </c>
      <c r="C196" s="6" t="s">
        <v>7</v>
      </c>
      <c r="D196" s="3" t="s">
        <v>268</v>
      </c>
      <c r="E196" s="3" t="s">
        <v>280</v>
      </c>
      <c r="F196" s="3" t="s">
        <v>64</v>
      </c>
      <c r="G196" s="2"/>
      <c r="H196" s="2">
        <v>3504600</v>
      </c>
      <c r="I196" s="4" t="s">
        <v>20</v>
      </c>
    </row>
  </sheetData>
  <mergeCells count="1">
    <mergeCell ref="C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5D031-914F-4387-BF83-8F875C609A27}">
  <dimension ref="A1:J11"/>
  <sheetViews>
    <sheetView zoomScale="75" workbookViewId="0">
      <selection activeCell="G30" sqref="G30"/>
    </sheetView>
  </sheetViews>
  <sheetFormatPr baseColWidth="10" defaultColWidth="8.83203125" defaultRowHeight="15"/>
  <cols>
    <col min="1" max="1" width="37.83203125" customWidth="1"/>
    <col min="3" max="3" width="18.1640625" bestFit="1" customWidth="1"/>
    <col min="4" max="4" width="10" bestFit="1" customWidth="1"/>
    <col min="5" max="5" width="10.33203125" bestFit="1" customWidth="1"/>
    <col min="6" max="6" width="10.6640625" bestFit="1" customWidth="1"/>
    <col min="8" max="8" width="11.6640625" bestFit="1" customWidth="1"/>
    <col min="9" max="9" width="9.5" bestFit="1" customWidth="1"/>
    <col min="10" max="10" width="10" bestFit="1" customWidth="1"/>
  </cols>
  <sheetData>
    <row r="1" spans="1:10">
      <c r="A1" s="19" t="s">
        <v>285</v>
      </c>
    </row>
    <row r="2" spans="1:10">
      <c r="A2" t="s">
        <v>286</v>
      </c>
    </row>
    <row r="4" spans="1:10">
      <c r="A4" s="20"/>
      <c r="D4" s="27">
        <v>2021</v>
      </c>
      <c r="E4" s="23">
        <v>2022</v>
      </c>
      <c r="F4" s="23">
        <v>2023</v>
      </c>
    </row>
    <row r="5" spans="1:10" ht="43">
      <c r="A5" s="21" t="s">
        <v>288</v>
      </c>
      <c r="B5" s="22" t="s">
        <v>287</v>
      </c>
      <c r="C5" s="23" t="s">
        <v>289</v>
      </c>
      <c r="D5" s="28">
        <f>H5/1000000</f>
        <v>1135.09516018</v>
      </c>
      <c r="E5" s="28">
        <f t="shared" ref="E5:F5" si="0">I5/1000000</f>
        <v>1041.39164643</v>
      </c>
      <c r="F5" s="28">
        <f t="shared" si="0"/>
        <v>982.88443390999998</v>
      </c>
      <c r="H5" s="27" t="s">
        <v>310</v>
      </c>
      <c r="I5" s="23">
        <v>1041391646.4299999</v>
      </c>
      <c r="J5" s="23">
        <v>982884433.90999997</v>
      </c>
    </row>
    <row r="6" spans="1:10" ht="85">
      <c r="A6" s="21" t="s">
        <v>290</v>
      </c>
      <c r="B6" s="22" t="s">
        <v>287</v>
      </c>
      <c r="C6" s="23" t="s">
        <v>291</v>
      </c>
      <c r="D6" s="28">
        <f t="shared" ref="D6:D7" si="1">H6/1000000</f>
        <v>1129.57715809</v>
      </c>
      <c r="E6" s="28">
        <f t="shared" ref="E6:E7" si="2">I6/1000000</f>
        <v>1033.7746657299999</v>
      </c>
      <c r="F6" s="28">
        <f t="shared" ref="F6:F7" si="3">J6/1000000</f>
        <v>982.87712101</v>
      </c>
      <c r="H6" s="27">
        <v>1129577158.0899999</v>
      </c>
      <c r="I6" s="23">
        <v>1033774665.73</v>
      </c>
      <c r="J6" s="23">
        <v>982877121.00999999</v>
      </c>
    </row>
    <row r="7" spans="1:10" ht="57">
      <c r="A7" s="21" t="s">
        <v>292</v>
      </c>
      <c r="B7" s="22" t="s">
        <v>287</v>
      </c>
      <c r="C7" s="23" t="s">
        <v>293</v>
      </c>
      <c r="D7" s="28">
        <f t="shared" si="1"/>
        <v>5.5180020899999995</v>
      </c>
      <c r="E7" s="28">
        <f t="shared" si="2"/>
        <v>7.6169807</v>
      </c>
      <c r="F7" s="28">
        <f t="shared" si="3"/>
        <v>7.3128999999999998E-3</v>
      </c>
      <c r="H7" s="27">
        <v>5518002.0899999999</v>
      </c>
      <c r="I7" s="23">
        <v>7616980.7000000002</v>
      </c>
      <c r="J7" s="23" t="s">
        <v>326</v>
      </c>
    </row>
    <row r="8" spans="1:10">
      <c r="C8" s="56" t="s">
        <v>327</v>
      </c>
      <c r="D8" s="28">
        <f>SUM(D5:D7)</f>
        <v>2270.19032036</v>
      </c>
      <c r="E8" s="28">
        <f t="shared" ref="E8:F8" si="4">SUM(E5:E7)</f>
        <v>2082.7832928600001</v>
      </c>
      <c r="F8" s="28">
        <f t="shared" si="4"/>
        <v>1965.76886782</v>
      </c>
      <c r="G8" s="37"/>
    </row>
    <row r="9" spans="1:10">
      <c r="C9" s="56" t="s">
        <v>328</v>
      </c>
      <c r="D9" s="56" t="s">
        <v>329</v>
      </c>
      <c r="E9" s="28">
        <f t="shared" ref="E9:F11" si="5">(E5-D5)/D5</f>
        <v>-8.2551240668791798E-2</v>
      </c>
      <c r="F9" s="28">
        <f t="shared" si="5"/>
        <v>-5.6181757094527232E-2</v>
      </c>
    </row>
    <row r="10" spans="1:10">
      <c r="D10" s="56" t="s">
        <v>329</v>
      </c>
      <c r="E10" s="28">
        <f t="shared" si="5"/>
        <v>-8.4812703296862302E-2</v>
      </c>
      <c r="F10" s="28">
        <f t="shared" si="5"/>
        <v>-4.9234660518652419E-2</v>
      </c>
    </row>
    <row r="11" spans="1:10">
      <c r="D11" s="56" t="s">
        <v>329</v>
      </c>
      <c r="E11" s="28">
        <f t="shared" si="5"/>
        <v>0.38038742569595524</v>
      </c>
      <c r="F11" s="28">
        <f t="shared" si="5"/>
        <v>-0.99903992142188314</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807BF-CFDD-4CBD-BE46-79369D46C1D6}">
  <dimension ref="A1:G46"/>
  <sheetViews>
    <sheetView tabSelected="1" zoomScale="90" workbookViewId="0">
      <selection activeCell="E15" sqref="E15:G15"/>
    </sheetView>
  </sheetViews>
  <sheetFormatPr baseColWidth="10" defaultColWidth="8.83203125" defaultRowHeight="16"/>
  <cols>
    <col min="1" max="1" width="82.33203125" style="26" customWidth="1"/>
    <col min="2" max="3" width="16.83203125" style="26" bestFit="1" customWidth="1"/>
    <col min="4" max="4" width="17.5" style="25" bestFit="1" customWidth="1"/>
    <col min="5" max="6" width="9" bestFit="1" customWidth="1"/>
    <col min="7" max="7" width="9.6640625" style="26" bestFit="1" customWidth="1"/>
    <col min="8" max="16384" width="8.83203125" style="26"/>
  </cols>
  <sheetData>
    <row r="1" spans="1:7">
      <c r="A1" s="24" t="s">
        <v>307</v>
      </c>
      <c r="B1" s="26" t="s">
        <v>311</v>
      </c>
    </row>
    <row r="2" spans="1:7">
      <c r="A2" s="26" t="s">
        <v>294</v>
      </c>
      <c r="B2" s="33">
        <v>2020</v>
      </c>
      <c r="C2" s="33">
        <v>2021</v>
      </c>
      <c r="D2" s="33">
        <v>2022</v>
      </c>
      <c r="E2">
        <f>(C3-B3)/B3</f>
        <v>0.17074064822361287</v>
      </c>
      <c r="F2">
        <f>(D3-C3)/C3</f>
        <v>0.50110242017605955</v>
      </c>
    </row>
    <row r="3" spans="1:7">
      <c r="A3" s="29" t="s">
        <v>295</v>
      </c>
      <c r="B3" s="34">
        <v>1005995.905</v>
      </c>
      <c r="C3" s="34">
        <v>1177760.2979300001</v>
      </c>
      <c r="D3" s="34">
        <v>1767938.8336100001</v>
      </c>
      <c r="E3">
        <f>(E2+F2)/2</f>
        <v>0.33592153419983622</v>
      </c>
      <c r="G3"/>
    </row>
    <row r="4" spans="1:7">
      <c r="A4" s="29" t="s">
        <v>312</v>
      </c>
      <c r="B4" s="35">
        <v>653810.89500000002</v>
      </c>
      <c r="C4" s="35">
        <v>538781.60694000009</v>
      </c>
      <c r="D4" s="35">
        <v>943211.31504999998</v>
      </c>
      <c r="E4" s="65" t="s">
        <v>330</v>
      </c>
      <c r="F4" s="66"/>
      <c r="G4" s="66"/>
    </row>
    <row r="5" spans="1:7">
      <c r="A5" s="30" t="s">
        <v>314</v>
      </c>
      <c r="B5" s="35">
        <v>379740.5</v>
      </c>
      <c r="C5" s="35">
        <v>259742.79793999999</v>
      </c>
      <c r="D5" s="35">
        <v>617097.65330000001</v>
      </c>
      <c r="E5" s="57">
        <f>B5/B$3</f>
        <v>0.37747718267302488</v>
      </c>
      <c r="F5" s="57">
        <f t="shared" ref="F5:G14" si="0">C5/C$3</f>
        <v>0.22053961098579819</v>
      </c>
      <c r="G5" s="57">
        <f>D5/D$3</f>
        <v>0.34904921005662415</v>
      </c>
    </row>
    <row r="6" spans="1:7">
      <c r="A6" s="30" t="s">
        <v>315</v>
      </c>
      <c r="B6" s="35">
        <v>2755.96</v>
      </c>
      <c r="C6" s="35">
        <v>3010.1950000000002</v>
      </c>
      <c r="D6" s="35">
        <v>3024</v>
      </c>
      <c r="E6" s="57">
        <f t="shared" ref="E6:E14" si="1">B6/B$3</f>
        <v>2.7395340143059528E-3</v>
      </c>
      <c r="F6" s="57">
        <f t="shared" ref="F6:F14" si="2">C6/C$3</f>
        <v>2.5558638759437197E-3</v>
      </c>
      <c r="G6" s="57">
        <f t="shared" si="0"/>
        <v>1.7104664157555813E-3</v>
      </c>
    </row>
    <row r="7" spans="1:7">
      <c r="A7" s="30" t="s">
        <v>316</v>
      </c>
      <c r="B7" s="35">
        <v>87005.804999999993</v>
      </c>
      <c r="C7" s="35">
        <v>105077.26300000001</v>
      </c>
      <c r="D7" s="35">
        <v>139905.51784000001</v>
      </c>
      <c r="E7" s="57">
        <f t="shared" si="1"/>
        <v>8.6487235750726033E-2</v>
      </c>
      <c r="F7" s="57">
        <f t="shared" si="2"/>
        <v>8.9217868172904946E-2</v>
      </c>
      <c r="G7" s="57">
        <f t="shared" si="0"/>
        <v>7.9134818004038807E-2</v>
      </c>
    </row>
    <row r="8" spans="1:7">
      <c r="A8" s="30" t="s">
        <v>317</v>
      </c>
      <c r="B8" s="35">
        <v>151944.34</v>
      </c>
      <c r="C8" s="35">
        <v>131183.25200000001</v>
      </c>
      <c r="D8" s="35">
        <v>142802.5766</v>
      </c>
      <c r="E8" s="57">
        <f t="shared" si="1"/>
        <v>0.15103872614670336</v>
      </c>
      <c r="F8" s="57">
        <f t="shared" si="2"/>
        <v>0.11138365950233181</v>
      </c>
      <c r="G8" s="57">
        <f t="shared" si="0"/>
        <v>8.0773482591820059E-2</v>
      </c>
    </row>
    <row r="9" spans="1:7">
      <c r="A9" s="30" t="s">
        <v>318</v>
      </c>
      <c r="B9" s="35">
        <v>814.048</v>
      </c>
      <c r="C9" s="35">
        <v>1612.61</v>
      </c>
      <c r="D9" s="35">
        <v>1425</v>
      </c>
      <c r="E9" s="57">
        <f t="shared" si="1"/>
        <v>8.0919613683715736E-4</v>
      </c>
      <c r="F9" s="57">
        <f t="shared" si="2"/>
        <v>1.3692174908886637E-3</v>
      </c>
      <c r="G9" s="57">
        <f t="shared" si="0"/>
        <v>8.060233605991083E-4</v>
      </c>
    </row>
    <row r="10" spans="1:7">
      <c r="A10" s="30" t="s">
        <v>319</v>
      </c>
      <c r="B10" s="35">
        <v>16733.092000000001</v>
      </c>
      <c r="C10" s="35">
        <v>21331.425999999999</v>
      </c>
      <c r="D10" s="35">
        <v>21493.774000000001</v>
      </c>
      <c r="E10" s="57">
        <f t="shared" si="1"/>
        <v>1.6633359953885696E-2</v>
      </c>
      <c r="F10" s="57">
        <f t="shared" si="2"/>
        <v>1.811185691816199E-2</v>
      </c>
      <c r="G10" s="57">
        <f t="shared" si="0"/>
        <v>1.2157532597500168E-2</v>
      </c>
    </row>
    <row r="11" spans="1:7">
      <c r="A11" s="30" t="s">
        <v>320</v>
      </c>
      <c r="B11" s="35">
        <v>103.06699999999999</v>
      </c>
      <c r="C11" s="35">
        <v>66.412000000000006</v>
      </c>
      <c r="D11" s="35">
        <v>45</v>
      </c>
      <c r="E11" s="57">
        <f t="shared" si="1"/>
        <v>1.0245270332387684E-4</v>
      </c>
      <c r="F11" s="57">
        <f t="shared" si="2"/>
        <v>5.638838405125725E-5</v>
      </c>
      <c r="G11" s="57">
        <f t="shared" si="0"/>
        <v>2.5453369282077104E-5</v>
      </c>
    </row>
    <row r="12" spans="1:7">
      <c r="A12" s="30" t="s">
        <v>321</v>
      </c>
      <c r="B12" s="35">
        <v>1082.1420000000001</v>
      </c>
      <c r="C12" s="35">
        <v>2517.2579999999998</v>
      </c>
      <c r="D12" s="35">
        <v>5802.9480000000003</v>
      </c>
      <c r="E12" s="57">
        <f t="shared" si="1"/>
        <v>1.0756922514510634E-3</v>
      </c>
      <c r="F12" s="57">
        <f t="shared" si="2"/>
        <v>2.1373262491733375E-3</v>
      </c>
      <c r="G12" s="57">
        <f t="shared" si="0"/>
        <v>3.2823239637486839E-3</v>
      </c>
    </row>
    <row r="13" spans="1:7">
      <c r="A13" s="30" t="s">
        <v>322</v>
      </c>
      <c r="B13" s="35">
        <v>9526.1849999999995</v>
      </c>
      <c r="C13" s="35">
        <v>6311.3519999999999</v>
      </c>
      <c r="D13" s="35">
        <v>9847.8453100000006</v>
      </c>
      <c r="E13" s="57">
        <f t="shared" si="1"/>
        <v>9.4694073332236874E-3</v>
      </c>
      <c r="F13" s="57">
        <f t="shared" si="2"/>
        <v>5.3587746259511912E-3</v>
      </c>
      <c r="G13" s="57">
        <f t="shared" si="0"/>
        <v>5.5702409624044684E-3</v>
      </c>
    </row>
    <row r="14" spans="1:7">
      <c r="A14" s="30" t="s">
        <v>323</v>
      </c>
      <c r="B14" s="35">
        <v>4105.7560000000003</v>
      </c>
      <c r="C14" s="35">
        <v>7929.0410000000002</v>
      </c>
      <c r="D14" s="35">
        <v>1767</v>
      </c>
      <c r="E14" s="57">
        <f t="shared" si="1"/>
        <v>4.0812850028450164E-3</v>
      </c>
      <c r="F14" s="57">
        <f t="shared" si="2"/>
        <v>6.7323045393327232E-3</v>
      </c>
      <c r="G14" s="57">
        <f t="shared" si="0"/>
        <v>9.994689671428943E-4</v>
      </c>
    </row>
    <row r="15" spans="1:7" ht="34">
      <c r="A15" s="31" t="s">
        <v>313</v>
      </c>
      <c r="B15" s="35">
        <v>352185.01</v>
      </c>
      <c r="C15" s="35">
        <v>638978.69099000003</v>
      </c>
      <c r="D15" s="35">
        <v>824727.51856000011</v>
      </c>
      <c r="E15" s="65" t="s">
        <v>330</v>
      </c>
      <c r="F15" s="66"/>
      <c r="G15" s="66"/>
    </row>
    <row r="16" spans="1:7">
      <c r="A16" s="30" t="s">
        <v>313</v>
      </c>
      <c r="B16" s="35">
        <v>352185.01</v>
      </c>
      <c r="C16" s="35">
        <v>638978.69099000003</v>
      </c>
      <c r="D16" s="35">
        <v>818809.37297999999</v>
      </c>
      <c r="E16" s="58">
        <f t="shared" ref="E16:E18" si="3">B16/B14</f>
        <v>85.778358480143481</v>
      </c>
      <c r="F16" s="58">
        <f t="shared" ref="F16:F18" si="4">C16/C14</f>
        <v>80.587134180539621</v>
      </c>
      <c r="G16" s="58">
        <f t="shared" ref="G16:G18" si="5">D16/D14</f>
        <v>463.38957157894737</v>
      </c>
    </row>
    <row r="17" spans="1:7">
      <c r="A17" s="30" t="s">
        <v>324</v>
      </c>
      <c r="B17" s="35">
        <v>0</v>
      </c>
      <c r="C17" s="35">
        <v>0</v>
      </c>
      <c r="D17" s="35">
        <v>5918.1455800000003</v>
      </c>
      <c r="E17" s="58">
        <f t="shared" si="3"/>
        <v>0</v>
      </c>
      <c r="F17" s="58">
        <f t="shared" si="4"/>
        <v>0</v>
      </c>
      <c r="G17" s="58">
        <f t="shared" si="5"/>
        <v>7.1758798473625166E-3</v>
      </c>
    </row>
    <row r="18" spans="1:7">
      <c r="A18" s="30" t="s">
        <v>325</v>
      </c>
      <c r="B18" s="35">
        <v>0</v>
      </c>
      <c r="C18" s="35">
        <v>0</v>
      </c>
      <c r="D18" s="35">
        <v>0</v>
      </c>
      <c r="E18" s="58">
        <f t="shared" si="3"/>
        <v>0</v>
      </c>
      <c r="F18" s="58">
        <f t="shared" si="4"/>
        <v>0</v>
      </c>
      <c r="G18" s="58">
        <f t="shared" si="5"/>
        <v>0</v>
      </c>
    </row>
    <row r="19" spans="1:7">
      <c r="A19" s="29" t="s">
        <v>296</v>
      </c>
      <c r="B19" s="34">
        <v>1119855.7035399999</v>
      </c>
      <c r="C19" s="34">
        <v>1364791.7580099998</v>
      </c>
      <c r="D19" s="34">
        <v>1596574.7011600002</v>
      </c>
      <c r="E19" s="67" t="s">
        <v>331</v>
      </c>
      <c r="F19" s="68"/>
      <c r="G19" s="68"/>
    </row>
    <row r="20" spans="1:7" ht="17">
      <c r="A20" s="32" t="s">
        <v>297</v>
      </c>
      <c r="B20" s="35">
        <v>143181.68709999998</v>
      </c>
      <c r="C20" s="35">
        <v>135129.75287999999</v>
      </c>
      <c r="D20" s="35">
        <v>148860.92645</v>
      </c>
      <c r="E20" s="57">
        <f>B20/B$19</f>
        <v>0.12785726468810693</v>
      </c>
      <c r="F20" s="57">
        <f t="shared" ref="F20:G20" si="6">C20/C$19</f>
        <v>9.9011260939201762E-2</v>
      </c>
      <c r="G20" s="57">
        <f t="shared" si="6"/>
        <v>9.3237683361664367E-2</v>
      </c>
    </row>
    <row r="21" spans="1:7" ht="17">
      <c r="A21" s="32" t="s">
        <v>298</v>
      </c>
      <c r="B21" s="35">
        <v>71686.707040000008</v>
      </c>
      <c r="C21" s="35">
        <v>38073.206020000005</v>
      </c>
      <c r="D21" s="35">
        <v>71825.662379999994</v>
      </c>
      <c r="E21" s="57">
        <f t="shared" ref="E21:E30" si="7">B21/B$19</f>
        <v>6.4014235774653483E-2</v>
      </c>
      <c r="F21" s="57">
        <f t="shared" ref="F21:F30" si="8">C21/C$19</f>
        <v>2.7896714496220634E-2</v>
      </c>
      <c r="G21" s="57">
        <f t="shared" ref="G21:G30" si="9">D21/D$19</f>
        <v>4.4987348432750852E-2</v>
      </c>
    </row>
    <row r="22" spans="1:7" ht="17">
      <c r="A22" s="32" t="s">
        <v>299</v>
      </c>
      <c r="B22" s="35">
        <v>198528.02827000001</v>
      </c>
      <c r="C22" s="35">
        <v>350652.32160000002</v>
      </c>
      <c r="D22" s="35">
        <v>211493.90317999999</v>
      </c>
      <c r="E22" s="57">
        <f t="shared" si="7"/>
        <v>0.17728000816750658</v>
      </c>
      <c r="F22" s="57">
        <f t="shared" si="8"/>
        <v>0.25692734407429707</v>
      </c>
      <c r="G22" s="57">
        <f t="shared" si="9"/>
        <v>0.13246727699389069</v>
      </c>
    </row>
    <row r="23" spans="1:7" ht="17">
      <c r="A23" s="32" t="s">
        <v>300</v>
      </c>
      <c r="B23" s="35">
        <v>175.24600000000001</v>
      </c>
      <c r="C23" s="35">
        <v>730.47</v>
      </c>
      <c r="D23" s="35">
        <v>1567.22</v>
      </c>
      <c r="E23" s="57">
        <f t="shared" si="7"/>
        <v>1.564898043971434E-4</v>
      </c>
      <c r="F23" s="57">
        <f t="shared" si="8"/>
        <v>5.3522451004913525E-4</v>
      </c>
      <c r="G23" s="57">
        <f t="shared" si="9"/>
        <v>9.8161395070417174E-4</v>
      </c>
    </row>
    <row r="24" spans="1:7" ht="17">
      <c r="A24" s="32" t="s">
        <v>301</v>
      </c>
      <c r="B24" s="35">
        <v>481180.97322000004</v>
      </c>
      <c r="C24" s="35">
        <v>514272.25330000004</v>
      </c>
      <c r="D24" s="35">
        <v>530447.45120000001</v>
      </c>
      <c r="E24" s="57">
        <f t="shared" si="7"/>
        <v>0.42968122741075349</v>
      </c>
      <c r="F24" s="57">
        <f t="shared" si="8"/>
        <v>0.37681371555896515</v>
      </c>
      <c r="G24" s="57">
        <f t="shared" si="9"/>
        <v>0.33224092227855073</v>
      </c>
    </row>
    <row r="25" spans="1:7" ht="17">
      <c r="A25" s="32" t="s">
        <v>302</v>
      </c>
      <c r="B25" s="35">
        <v>78367.954790000003</v>
      </c>
      <c r="C25" s="35">
        <v>78056.185530000002</v>
      </c>
      <c r="D25" s="35">
        <v>68960.497700000007</v>
      </c>
      <c r="E25" s="57">
        <f t="shared" si="7"/>
        <v>6.998040420946143E-2</v>
      </c>
      <c r="F25" s="57">
        <f t="shared" si="8"/>
        <v>5.7192743927332604E-2</v>
      </c>
      <c r="G25" s="57">
        <f t="shared" si="9"/>
        <v>4.3192778671675293E-2</v>
      </c>
    </row>
    <row r="26" spans="1:7" ht="17">
      <c r="A26" s="32" t="s">
        <v>303</v>
      </c>
      <c r="B26" s="35">
        <v>40020.137969999996</v>
      </c>
      <c r="C26" s="35">
        <v>22934.418300000001</v>
      </c>
      <c r="D26" s="35">
        <v>24998.391</v>
      </c>
      <c r="E26" s="57">
        <f t="shared" si="7"/>
        <v>3.5736870244524786E-2</v>
      </c>
      <c r="F26" s="57">
        <f t="shared" si="8"/>
        <v>1.6804335288074009E-2</v>
      </c>
      <c r="G26" s="57">
        <f t="shared" si="9"/>
        <v>1.5657514165693144E-2</v>
      </c>
    </row>
    <row r="27" spans="1:7" ht="17">
      <c r="A27" s="32" t="s">
        <v>304</v>
      </c>
      <c r="B27" s="35">
        <v>16370.461859999999</v>
      </c>
      <c r="C27" s="35">
        <v>9611.1640000000007</v>
      </c>
      <c r="D27" s="35">
        <v>5305.6</v>
      </c>
      <c r="E27" s="57">
        <f t="shared" si="7"/>
        <v>1.4618367177352386E-2</v>
      </c>
      <c r="F27" s="57">
        <f t="shared" si="8"/>
        <v>7.0422201362162536E-3</v>
      </c>
      <c r="G27" s="57">
        <f t="shared" si="9"/>
        <v>3.3231141619275237E-3</v>
      </c>
    </row>
    <row r="28" spans="1:7" ht="17">
      <c r="A28" s="32" t="s">
        <v>305</v>
      </c>
      <c r="B28" s="35">
        <v>21684.011109999999</v>
      </c>
      <c r="C28" s="35">
        <v>11309.8233</v>
      </c>
      <c r="D28" s="35">
        <v>17505.8</v>
      </c>
      <c r="E28" s="57">
        <f t="shared" si="7"/>
        <v>1.9363218887446128E-2</v>
      </c>
      <c r="F28" s="57">
        <f t="shared" si="8"/>
        <v>8.2868490622267765E-3</v>
      </c>
      <c r="G28" s="57">
        <f t="shared" si="9"/>
        <v>1.0964598140807984E-2</v>
      </c>
    </row>
    <row r="29" spans="1:7" ht="17">
      <c r="A29" s="32" t="s">
        <v>306</v>
      </c>
      <c r="B29" s="35">
        <v>68495.496180000002</v>
      </c>
      <c r="C29" s="35">
        <v>204022.16308000003</v>
      </c>
      <c r="D29" s="35">
        <v>515609.24924999999</v>
      </c>
      <c r="E29" s="57">
        <f t="shared" si="7"/>
        <v>6.1164573224458667E-2</v>
      </c>
      <c r="F29" s="57">
        <f t="shared" si="8"/>
        <v>0.14948959200741682</v>
      </c>
      <c r="G29" s="57">
        <f t="shared" si="9"/>
        <v>0.32294714984233513</v>
      </c>
    </row>
    <row r="30" spans="1:7" ht="17">
      <c r="A30" s="32" t="s">
        <v>308</v>
      </c>
      <c r="B30" s="35">
        <v>165</v>
      </c>
      <c r="C30" s="35">
        <v>0</v>
      </c>
      <c r="D30" s="35">
        <v>0</v>
      </c>
      <c r="E30" s="57">
        <f t="shared" si="7"/>
        <v>1.4734041133908143E-4</v>
      </c>
      <c r="F30" s="57">
        <f t="shared" si="8"/>
        <v>0</v>
      </c>
      <c r="G30" s="57">
        <f t="shared" si="9"/>
        <v>0</v>
      </c>
    </row>
    <row r="31" spans="1:7">
      <c r="B31" s="26">
        <f>(C19-B19)/B19</f>
        <v>0.21872108495382686</v>
      </c>
      <c r="C31" s="26">
        <f>(D19-C19)/C19</f>
        <v>0.16983026296111481</v>
      </c>
    </row>
    <row r="32" spans="1:7">
      <c r="B32" s="26">
        <f>(B31+C31)/2</f>
        <v>0.19427567395747083</v>
      </c>
    </row>
    <row r="34" spans="1:4">
      <c r="A34" s="36"/>
      <c r="D34" s="26"/>
    </row>
    <row r="35" spans="1:4">
      <c r="A35" s="36"/>
      <c r="D35" s="26"/>
    </row>
    <row r="36" spans="1:4">
      <c r="A36" s="36"/>
      <c r="D36" s="26"/>
    </row>
    <row r="37" spans="1:4">
      <c r="A37" s="36"/>
      <c r="D37" s="26"/>
    </row>
    <row r="38" spans="1:4">
      <c r="A38" s="36"/>
      <c r="D38" s="26"/>
    </row>
    <row r="39" spans="1:4">
      <c r="A39" s="36"/>
      <c r="D39" s="26"/>
    </row>
    <row r="40" spans="1:4">
      <c r="A40" s="36"/>
      <c r="D40" s="26"/>
    </row>
    <row r="41" spans="1:4">
      <c r="A41" s="36"/>
      <c r="D41" s="26"/>
    </row>
    <row r="42" spans="1:4">
      <c r="A42" s="36"/>
      <c r="D42" s="26"/>
    </row>
    <row r="43" spans="1:4">
      <c r="A43" s="36"/>
      <c r="D43" s="26"/>
    </row>
    <row r="44" spans="1:4">
      <c r="A44" s="36"/>
      <c r="D44" s="26"/>
    </row>
    <row r="45" spans="1:4">
      <c r="A45" s="36"/>
      <c r="D45" s="26"/>
    </row>
    <row r="46" spans="1:4">
      <c r="A46" s="36"/>
      <c r="D46" s="26"/>
    </row>
  </sheetData>
  <mergeCells count="3">
    <mergeCell ref="E4:G4"/>
    <mergeCell ref="E15:G15"/>
    <mergeCell ref="E19:G19"/>
  </mergeCells>
  <conditionalFormatting sqref="B5:B14 B17:B18">
    <cfRule type="colorScale" priority="31">
      <colorScale>
        <cfvo type="min"/>
        <cfvo type="max"/>
        <color rgb="FFFCFCFF"/>
        <color rgb="FF63BE7B"/>
      </colorScale>
    </cfRule>
  </conditionalFormatting>
  <conditionalFormatting sqref="B20:B29">
    <cfRule type="dataBar" priority="16">
      <dataBar>
        <cfvo type="min"/>
        <cfvo type="max"/>
        <color rgb="FF638EC6"/>
      </dataBar>
      <extLst>
        <ext xmlns:x14="http://schemas.microsoft.com/office/spreadsheetml/2009/9/main" uri="{B025F937-C7B1-47D3-B67F-A62EFF666E3E}">
          <x14:id>{6F386DF7-7B8F-624F-A53A-BB547779247A}</x14:id>
        </ext>
      </extLst>
    </cfRule>
  </conditionalFormatting>
  <conditionalFormatting sqref="B5:D5">
    <cfRule type="iconSet" priority="1">
      <iconSet iconSet="3Arrows">
        <cfvo type="percent" val="0"/>
        <cfvo type="percent" val="33"/>
        <cfvo type="percent" val="67"/>
      </iconSet>
    </cfRule>
  </conditionalFormatting>
  <conditionalFormatting sqref="B5:D6">
    <cfRule type="iconSet" priority="27">
      <iconSet iconSet="3Arrows">
        <cfvo type="percent" val="0"/>
        <cfvo type="percent" val="33"/>
        <cfvo type="percent" val="67"/>
      </iconSet>
    </cfRule>
  </conditionalFormatting>
  <conditionalFormatting sqref="B7:D7">
    <cfRule type="iconSet" priority="26">
      <iconSet iconSet="3Arrows">
        <cfvo type="percent" val="0"/>
        <cfvo type="percent" val="33"/>
        <cfvo type="percent" val="67"/>
      </iconSet>
    </cfRule>
  </conditionalFormatting>
  <conditionalFormatting sqref="B8:D8">
    <cfRule type="iconSet" priority="25">
      <iconSet iconSet="3Arrows">
        <cfvo type="percent" val="0"/>
        <cfvo type="percent" val="33"/>
        <cfvo type="percent" val="67"/>
      </iconSet>
    </cfRule>
  </conditionalFormatting>
  <conditionalFormatting sqref="B9:D9">
    <cfRule type="iconSet" priority="24">
      <iconSet iconSet="3Arrows">
        <cfvo type="percent" val="0"/>
        <cfvo type="percent" val="33"/>
        <cfvo type="percent" val="67"/>
      </iconSet>
    </cfRule>
  </conditionalFormatting>
  <conditionalFormatting sqref="B10:D10">
    <cfRule type="iconSet" priority="23">
      <iconSet iconSet="3Arrows">
        <cfvo type="percent" val="0"/>
        <cfvo type="percent" val="33"/>
        <cfvo type="percent" val="67"/>
      </iconSet>
    </cfRule>
  </conditionalFormatting>
  <conditionalFormatting sqref="B11:D11">
    <cfRule type="iconSet" priority="22">
      <iconSet iconSet="3Arrows">
        <cfvo type="percent" val="0"/>
        <cfvo type="percent" val="33"/>
        <cfvo type="percent" val="67"/>
      </iconSet>
    </cfRule>
  </conditionalFormatting>
  <conditionalFormatting sqref="B12:D12">
    <cfRule type="iconSet" priority="21">
      <iconSet iconSet="3Arrows">
        <cfvo type="percent" val="0"/>
        <cfvo type="percent" val="33"/>
        <cfvo type="percent" val="67"/>
      </iconSet>
    </cfRule>
  </conditionalFormatting>
  <conditionalFormatting sqref="B13:D13">
    <cfRule type="iconSet" priority="20">
      <iconSet iconSet="3Arrows">
        <cfvo type="percent" val="0"/>
        <cfvo type="percent" val="33"/>
        <cfvo type="percent" val="67"/>
      </iconSet>
    </cfRule>
  </conditionalFormatting>
  <conditionalFormatting sqref="B14:D14">
    <cfRule type="iconSet" priority="19">
      <iconSet iconSet="3Arrows">
        <cfvo type="percent" val="0"/>
        <cfvo type="percent" val="33"/>
        <cfvo type="percent" val="67"/>
      </iconSet>
    </cfRule>
  </conditionalFormatting>
  <conditionalFormatting sqref="B17:D17">
    <cfRule type="iconSet" priority="17">
      <iconSet iconSet="3Arrows">
        <cfvo type="percent" val="0"/>
        <cfvo type="percent" val="33"/>
        <cfvo type="percent" val="67"/>
      </iconSet>
    </cfRule>
  </conditionalFormatting>
  <conditionalFormatting sqref="B20:D20">
    <cfRule type="iconSet" priority="13">
      <iconSet iconSet="3Arrows">
        <cfvo type="percent" val="0"/>
        <cfvo type="percent" val="33"/>
        <cfvo type="percent" val="67"/>
      </iconSet>
    </cfRule>
  </conditionalFormatting>
  <conditionalFormatting sqref="B21:D21">
    <cfRule type="iconSet" priority="12">
      <iconSet iconSet="3Arrows">
        <cfvo type="percent" val="0"/>
        <cfvo type="percent" val="33"/>
        <cfvo type="percent" val="67"/>
      </iconSet>
    </cfRule>
  </conditionalFormatting>
  <conditionalFormatting sqref="B22:D22">
    <cfRule type="iconSet" priority="11">
      <iconSet iconSet="3Arrows">
        <cfvo type="percent" val="0"/>
        <cfvo type="percent" val="33"/>
        <cfvo type="percent" val="67"/>
      </iconSet>
    </cfRule>
  </conditionalFormatting>
  <conditionalFormatting sqref="B23:D23">
    <cfRule type="iconSet" priority="9">
      <iconSet iconSet="3Arrows">
        <cfvo type="percent" val="0"/>
        <cfvo type="percent" val="33"/>
        <cfvo type="percent" val="67"/>
      </iconSet>
    </cfRule>
  </conditionalFormatting>
  <conditionalFormatting sqref="B24:D24">
    <cfRule type="iconSet" priority="8">
      <iconSet iconSet="3Arrows">
        <cfvo type="percent" val="0"/>
        <cfvo type="percent" val="33"/>
        <cfvo type="percent" val="67"/>
      </iconSet>
    </cfRule>
  </conditionalFormatting>
  <conditionalFormatting sqref="B25:D25">
    <cfRule type="iconSet" priority="7">
      <iconSet iconSet="3Arrows">
        <cfvo type="percent" val="0"/>
        <cfvo type="percent" val="33"/>
        <cfvo type="percent" val="67"/>
      </iconSet>
    </cfRule>
  </conditionalFormatting>
  <conditionalFormatting sqref="B26:D26">
    <cfRule type="iconSet" priority="6">
      <iconSet iconSet="3Arrows">
        <cfvo type="percent" val="0"/>
        <cfvo type="percent" val="33"/>
        <cfvo type="percent" val="67"/>
      </iconSet>
    </cfRule>
  </conditionalFormatting>
  <conditionalFormatting sqref="B27:D27">
    <cfRule type="iconSet" priority="5">
      <iconSet iconSet="3Arrows">
        <cfvo type="percent" val="0"/>
        <cfvo type="percent" val="33"/>
        <cfvo type="percent" val="67"/>
      </iconSet>
    </cfRule>
  </conditionalFormatting>
  <conditionalFormatting sqref="B28:D28">
    <cfRule type="iconSet" priority="4">
      <iconSet iconSet="3Arrows">
        <cfvo type="percent" val="0"/>
        <cfvo type="percent" val="33"/>
        <cfvo type="percent" val="67"/>
      </iconSet>
    </cfRule>
  </conditionalFormatting>
  <conditionalFormatting sqref="B29:D29">
    <cfRule type="iconSet" priority="3">
      <iconSet iconSet="3Arrows">
        <cfvo type="percent" val="0"/>
        <cfvo type="percent" val="33"/>
        <cfvo type="percent" val="67"/>
      </iconSet>
    </cfRule>
  </conditionalFormatting>
  <conditionalFormatting sqref="B30:D30">
    <cfRule type="iconSet" priority="2">
      <iconSet iconSet="3Arrows">
        <cfvo type="percent" val="0"/>
        <cfvo type="percent" val="33"/>
        <cfvo type="percent" val="67"/>
      </iconSet>
    </cfRule>
  </conditionalFormatting>
  <conditionalFormatting sqref="C5:C14 C17:C18">
    <cfRule type="colorScale" priority="30">
      <colorScale>
        <cfvo type="min"/>
        <cfvo type="max"/>
        <color rgb="FFFCFCFF"/>
        <color rgb="FF63BE7B"/>
      </colorScale>
    </cfRule>
  </conditionalFormatting>
  <conditionalFormatting sqref="C20:C30">
    <cfRule type="dataBar" priority="15">
      <dataBar>
        <cfvo type="min"/>
        <cfvo type="max"/>
        <color rgb="FF638EC6"/>
      </dataBar>
      <extLst>
        <ext xmlns:x14="http://schemas.microsoft.com/office/spreadsheetml/2009/9/main" uri="{B025F937-C7B1-47D3-B67F-A62EFF666E3E}">
          <x14:id>{967AAB07-25A2-4A47-B384-8DADB5C9F6E9}</x14:id>
        </ext>
      </extLst>
    </cfRule>
  </conditionalFormatting>
  <conditionalFormatting sqref="D5:D14 D17:D18">
    <cfRule type="colorScale" priority="29">
      <colorScale>
        <cfvo type="min"/>
        <cfvo type="max"/>
        <color rgb="FFFCFCFF"/>
        <color rgb="FF63BE7B"/>
      </colorScale>
    </cfRule>
  </conditionalFormatting>
  <conditionalFormatting sqref="D20:D30">
    <cfRule type="dataBar" priority="14">
      <dataBar>
        <cfvo type="min"/>
        <cfvo type="max"/>
        <color rgb="FF638EC6"/>
      </dataBar>
      <extLst>
        <ext xmlns:x14="http://schemas.microsoft.com/office/spreadsheetml/2009/9/main" uri="{B025F937-C7B1-47D3-B67F-A62EFF666E3E}">
          <x14:id>{C5EC027E-C161-3A48-BE64-3B128A17E440}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6F386DF7-7B8F-624F-A53A-BB547779247A}">
            <x14:dataBar minLength="0" maxLength="100" border="1" negativeBarBorderColorSameAsPositive="0">
              <x14:cfvo type="autoMin"/>
              <x14:cfvo type="autoMax"/>
              <x14:borderColor rgb="FF638EC6"/>
              <x14:negativeFillColor rgb="FFFF0000"/>
              <x14:negativeBorderColor rgb="FFFF0000"/>
              <x14:axisColor rgb="FF000000"/>
            </x14:dataBar>
          </x14:cfRule>
          <xm:sqref>B20:B29</xm:sqref>
        </x14:conditionalFormatting>
        <x14:conditionalFormatting xmlns:xm="http://schemas.microsoft.com/office/excel/2006/main">
          <x14:cfRule type="dataBar" id="{967AAB07-25A2-4A47-B384-8DADB5C9F6E9}">
            <x14:dataBar minLength="0" maxLength="100" border="1" negativeBarBorderColorSameAsPositive="0">
              <x14:cfvo type="autoMin"/>
              <x14:cfvo type="autoMax"/>
              <x14:borderColor rgb="FF638EC6"/>
              <x14:negativeFillColor rgb="FFFF0000"/>
              <x14:negativeBorderColor rgb="FFFF0000"/>
              <x14:axisColor rgb="FF000000"/>
            </x14:dataBar>
          </x14:cfRule>
          <xm:sqref>C20:C30</xm:sqref>
        </x14:conditionalFormatting>
        <x14:conditionalFormatting xmlns:xm="http://schemas.microsoft.com/office/excel/2006/main">
          <x14:cfRule type="dataBar" id="{C5EC027E-C161-3A48-BE64-3B128A17E440}">
            <x14:dataBar minLength="0" maxLength="100" border="1" negativeBarBorderColorSameAsPositive="0">
              <x14:cfvo type="autoMin"/>
              <x14:cfvo type="autoMax"/>
              <x14:borderColor rgb="FF638EC6"/>
              <x14:negativeFillColor rgb="FFFF0000"/>
              <x14:negativeBorderColor rgb="FFFF0000"/>
              <x14:axisColor rgb="FF000000"/>
            </x14:dataBar>
          </x14:cfRule>
          <xm:sqref>D20:D30</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4</vt:i4>
      </vt:variant>
    </vt:vector>
  </HeadingPairs>
  <TitlesOfParts>
    <vt:vector size="4" baseType="lpstr">
      <vt:lpstr>Задание 1</vt:lpstr>
      <vt:lpstr>К з1</vt:lpstr>
      <vt:lpstr>Задание 2</vt:lpstr>
      <vt:lpstr>Задание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matzur.lina@yandex.ru</cp:lastModifiedBy>
  <dcterms:created xsi:type="dcterms:W3CDTF">2015-06-05T18:19:34Z</dcterms:created>
  <dcterms:modified xsi:type="dcterms:W3CDTF">2025-11-09T14:23:12Z</dcterms:modified>
</cp:coreProperties>
</file>