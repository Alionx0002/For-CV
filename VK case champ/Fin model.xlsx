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lininka/Desktop/Проекты/ВК/"/>
    </mc:Choice>
  </mc:AlternateContent>
  <xr:revisionPtr revIDLastSave="0" documentId="13_ncr:1_{9214AF61-0FAC-4444-9084-FF9F498332BD}" xr6:coauthVersionLast="47" xr6:coauthVersionMax="47" xr10:uidLastSave="{00000000-0000-0000-0000-000000000000}"/>
  <bookViews>
    <workbookView xWindow="0" yWindow="760" windowWidth="29400" windowHeight="18360" activeTab="3" xr2:uid="{00000000-000D-0000-FFFF-FFFF00000000}"/>
  </bookViews>
  <sheets>
    <sheet name="Показатели" sheetId="8" r:id="rId1"/>
    <sheet name="Предпосылки" sheetId="3" r:id="rId2"/>
    <sheet name="Расходники" sheetId="2" r:id="rId3"/>
    <sheet name="Cash Flow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7" l="1"/>
  <c r="H4" i="7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G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E14" i="7"/>
  <c r="A14" i="7"/>
  <c r="G30" i="7"/>
  <c r="G56" i="7"/>
  <c r="D10" i="3"/>
  <c r="G10" i="3" s="1"/>
  <c r="J2" i="3"/>
  <c r="C35" i="2"/>
  <c r="C36" i="2"/>
  <c r="C34" i="2"/>
  <c r="C33" i="2"/>
  <c r="C32" i="2"/>
  <c r="C31" i="2" s="1"/>
  <c r="C30" i="2" s="1"/>
  <c r="C24" i="2"/>
  <c r="E37" i="7"/>
  <c r="E10" i="3"/>
  <c r="E9" i="3"/>
  <c r="G7" i="3"/>
  <c r="G6" i="3"/>
  <c r="E8" i="3"/>
  <c r="A62" i="7"/>
  <c r="A36" i="7"/>
  <c r="A10" i="7"/>
  <c r="A65" i="7"/>
  <c r="A64" i="7"/>
  <c r="E63" i="7"/>
  <c r="D63" i="7"/>
  <c r="C63" i="7"/>
  <c r="B63" i="7"/>
  <c r="C18" i="3"/>
  <c r="E11" i="7"/>
  <c r="D11" i="7"/>
  <c r="C11" i="7"/>
  <c r="B11" i="7"/>
  <c r="A31" i="7"/>
  <c r="A33" i="7"/>
  <c r="A35" i="7"/>
  <c r="A34" i="7"/>
  <c r="A32" i="7"/>
  <c r="B37" i="7"/>
  <c r="C37" i="7"/>
  <c r="D37" i="7"/>
  <c r="G11" i="3"/>
  <c r="D17" i="8"/>
  <c r="A39" i="7"/>
  <c r="A13" i="7" s="1"/>
  <c r="A38" i="7"/>
  <c r="A12" i="7" s="1"/>
  <c r="E24" i="3"/>
  <c r="E23" i="3"/>
  <c r="E22" i="3"/>
  <c r="C22" i="2"/>
  <c r="C19" i="2"/>
  <c r="C16" i="2"/>
  <c r="C12" i="2"/>
  <c r="C11" i="2" s="1"/>
  <c r="C2" i="2"/>
  <c r="G62" i="7" l="1"/>
  <c r="F10" i="7"/>
  <c r="F36" i="7"/>
  <c r="F62" i="7"/>
  <c r="H30" i="7"/>
  <c r="G10" i="7"/>
  <c r="H56" i="7"/>
  <c r="H62" i="7" s="1"/>
  <c r="I56" i="7"/>
  <c r="I62" i="7" s="1"/>
  <c r="G36" i="7"/>
  <c r="Z66" i="7"/>
  <c r="W66" i="7"/>
  <c r="S66" i="7"/>
  <c r="P66" i="7"/>
  <c r="N66" i="7"/>
  <c r="K66" i="7"/>
  <c r="G66" i="7"/>
  <c r="AC66" i="7"/>
  <c r="AA66" i="7"/>
  <c r="Y66" i="7"/>
  <c r="X66" i="7"/>
  <c r="V66" i="7"/>
  <c r="R66" i="7"/>
  <c r="O66" i="7"/>
  <c r="M66" i="7"/>
  <c r="J66" i="7"/>
  <c r="E66" i="7"/>
  <c r="AB66" i="7"/>
  <c r="Q66" i="7"/>
  <c r="L66" i="7"/>
  <c r="I66" i="7"/>
  <c r="H66" i="7"/>
  <c r="U66" i="7"/>
  <c r="T66" i="7"/>
  <c r="F66" i="7"/>
  <c r="R12" i="7"/>
  <c r="R64" i="7"/>
  <c r="B12" i="7"/>
  <c r="B64" i="7"/>
  <c r="F57" i="7"/>
  <c r="G5" i="7"/>
  <c r="F5" i="7"/>
  <c r="A5" i="7"/>
  <c r="A57" i="7"/>
  <c r="A7" i="7"/>
  <c r="A59" i="7"/>
  <c r="F59" i="7"/>
  <c r="G7" i="7"/>
  <c r="F7" i="7"/>
  <c r="A9" i="7"/>
  <c r="A61" i="7"/>
  <c r="A8" i="7"/>
  <c r="A60" i="7"/>
  <c r="A6" i="7"/>
  <c r="A58" i="7"/>
  <c r="F61" i="7"/>
  <c r="G9" i="7"/>
  <c r="F9" i="7"/>
  <c r="J40" i="7"/>
  <c r="K40" i="7"/>
  <c r="L40" i="7"/>
  <c r="M40" i="7"/>
  <c r="N40" i="7"/>
  <c r="O40" i="7"/>
  <c r="P40" i="7"/>
  <c r="Q40" i="7"/>
  <c r="R40" i="7"/>
  <c r="U40" i="7"/>
  <c r="V40" i="7"/>
  <c r="W40" i="7"/>
  <c r="Y40" i="7"/>
  <c r="Z40" i="7"/>
  <c r="AC40" i="7"/>
  <c r="I40" i="7"/>
  <c r="G40" i="7"/>
  <c r="F40" i="7"/>
  <c r="E40" i="7"/>
  <c r="S40" i="7"/>
  <c r="T40" i="7"/>
  <c r="X40" i="7"/>
  <c r="AA40" i="7"/>
  <c r="AB40" i="7"/>
  <c r="H40" i="7"/>
  <c r="G31" i="7"/>
  <c r="F31" i="7"/>
  <c r="G8" i="3"/>
  <c r="G33" i="7"/>
  <c r="F33" i="7"/>
  <c r="F35" i="7"/>
  <c r="G35" i="7"/>
  <c r="G9" i="3"/>
  <c r="R38" i="7"/>
  <c r="B38" i="7"/>
  <c r="D28" i="2"/>
  <c r="H10" i="7" l="1"/>
  <c r="I30" i="7"/>
  <c r="W5" i="7"/>
  <c r="J56" i="7"/>
  <c r="J62" i="7" s="1"/>
  <c r="H36" i="7"/>
  <c r="H31" i="7"/>
  <c r="H33" i="7"/>
  <c r="H35" i="7"/>
  <c r="B65" i="7"/>
  <c r="B13" i="7"/>
  <c r="B15" i="7" s="1"/>
  <c r="G57" i="7"/>
  <c r="G61" i="7"/>
  <c r="G59" i="7"/>
  <c r="W9" i="7"/>
  <c r="W7" i="7"/>
  <c r="F6" i="7"/>
  <c r="G58" i="7"/>
  <c r="F58" i="7"/>
  <c r="W6" i="7"/>
  <c r="G6" i="7"/>
  <c r="G60" i="7"/>
  <c r="F60" i="7"/>
  <c r="G8" i="7"/>
  <c r="F8" i="7"/>
  <c r="W8" i="7"/>
  <c r="F34" i="7"/>
  <c r="H34" i="7"/>
  <c r="G34" i="7"/>
  <c r="H32" i="7"/>
  <c r="G32" i="7"/>
  <c r="G37" i="7" s="1"/>
  <c r="F32" i="7"/>
  <c r="B39" i="7"/>
  <c r="B41" i="7" s="1"/>
  <c r="I10" i="7" l="1"/>
  <c r="J30" i="7"/>
  <c r="F11" i="7"/>
  <c r="F37" i="7"/>
  <c r="G11" i="7"/>
  <c r="K56" i="7"/>
  <c r="K62" i="7" s="1"/>
  <c r="J34" i="7"/>
  <c r="J32" i="7"/>
  <c r="J35" i="7"/>
  <c r="J33" i="7"/>
  <c r="J31" i="7"/>
  <c r="J36" i="7"/>
  <c r="I35" i="7"/>
  <c r="I33" i="7"/>
  <c r="I31" i="7"/>
  <c r="I36" i="7"/>
  <c r="I34" i="7"/>
  <c r="I32" i="7"/>
  <c r="C65" i="7"/>
  <c r="B67" i="7"/>
  <c r="C13" i="7"/>
  <c r="C15" i="7" s="1"/>
  <c r="H37" i="7"/>
  <c r="F63" i="7"/>
  <c r="G63" i="7"/>
  <c r="H60" i="7"/>
  <c r="H58" i="7"/>
  <c r="H57" i="7"/>
  <c r="H61" i="7"/>
  <c r="H59" i="7"/>
  <c r="X9" i="7"/>
  <c r="X7" i="7"/>
  <c r="V6" i="7"/>
  <c r="V7" i="7"/>
  <c r="V9" i="7"/>
  <c r="V8" i="7"/>
  <c r="V5" i="7"/>
  <c r="X6" i="7"/>
  <c r="X8" i="7"/>
  <c r="X5" i="7"/>
  <c r="Y5" i="7"/>
  <c r="C39" i="7"/>
  <c r="C41" i="7" s="1"/>
  <c r="B42" i="7"/>
  <c r="J10" i="7" l="1"/>
  <c r="K30" i="7"/>
  <c r="I37" i="7"/>
  <c r="J37" i="7"/>
  <c r="L56" i="7"/>
  <c r="L62" i="7" s="1"/>
  <c r="K36" i="7"/>
  <c r="C67" i="7"/>
  <c r="D65" i="7"/>
  <c r="B68" i="7"/>
  <c r="D13" i="7"/>
  <c r="D15" i="7" s="1"/>
  <c r="B16" i="7"/>
  <c r="H63" i="7"/>
  <c r="Y9" i="7"/>
  <c r="Y8" i="7"/>
  <c r="Y7" i="7"/>
  <c r="Y6" i="7"/>
  <c r="I58" i="7"/>
  <c r="I60" i="7"/>
  <c r="I61" i="7"/>
  <c r="I59" i="7"/>
  <c r="I57" i="7"/>
  <c r="U9" i="7"/>
  <c r="U8" i="7"/>
  <c r="U5" i="7"/>
  <c r="U7" i="7"/>
  <c r="U6" i="7"/>
  <c r="D39" i="7"/>
  <c r="D41" i="7" s="1"/>
  <c r="C42" i="7"/>
  <c r="B44" i="7"/>
  <c r="B43" i="7"/>
  <c r="K10" i="7" l="1"/>
  <c r="L30" i="7"/>
  <c r="M56" i="7"/>
  <c r="M62" i="7" s="1"/>
  <c r="L32" i="7"/>
  <c r="L34" i="7"/>
  <c r="L36" i="7"/>
  <c r="L35" i="7"/>
  <c r="L33" i="7"/>
  <c r="L31" i="7"/>
  <c r="B17" i="7"/>
  <c r="B18" i="7"/>
  <c r="E65" i="7"/>
  <c r="D67" i="7"/>
  <c r="E13" i="7"/>
  <c r="E15" i="7" s="1"/>
  <c r="C68" i="7"/>
  <c r="B69" i="7"/>
  <c r="B70" i="7"/>
  <c r="C16" i="7"/>
  <c r="I63" i="7"/>
  <c r="Z7" i="7"/>
  <c r="Z8" i="7"/>
  <c r="Z9" i="7"/>
  <c r="Z5" i="7"/>
  <c r="Z6" i="7"/>
  <c r="T9" i="7"/>
  <c r="T5" i="7"/>
  <c r="T6" i="7"/>
  <c r="J60" i="7"/>
  <c r="J58" i="7"/>
  <c r="J57" i="7"/>
  <c r="J59" i="7"/>
  <c r="J61" i="7"/>
  <c r="T8" i="7"/>
  <c r="T7" i="7"/>
  <c r="D42" i="7"/>
  <c r="E39" i="7"/>
  <c r="C44" i="7"/>
  <c r="C43" i="7"/>
  <c r="L10" i="7" l="1"/>
  <c r="M30" i="7"/>
  <c r="N56" i="7"/>
  <c r="N62" i="7" s="1"/>
  <c r="L37" i="7"/>
  <c r="M32" i="7"/>
  <c r="M34" i="7"/>
  <c r="M36" i="7"/>
  <c r="M35" i="7"/>
  <c r="M33" i="7"/>
  <c r="M31" i="7"/>
  <c r="C69" i="7"/>
  <c r="C70" i="7"/>
  <c r="C17" i="7"/>
  <c r="C18" i="7"/>
  <c r="S9" i="7"/>
  <c r="F65" i="7"/>
  <c r="G65" i="7" s="1"/>
  <c r="E67" i="7"/>
  <c r="F13" i="7"/>
  <c r="F15" i="7" s="1"/>
  <c r="F16" i="7" s="1"/>
  <c r="D68" i="7"/>
  <c r="D16" i="7"/>
  <c r="J63" i="7"/>
  <c r="AA6" i="7"/>
  <c r="AA9" i="7"/>
  <c r="AA8" i="7"/>
  <c r="AA7" i="7"/>
  <c r="AA5" i="7"/>
  <c r="S8" i="7"/>
  <c r="S7" i="7"/>
  <c r="S6" i="7"/>
  <c r="S5" i="7"/>
  <c r="K58" i="7"/>
  <c r="K61" i="7"/>
  <c r="K57" i="7"/>
  <c r="K60" i="7"/>
  <c r="E41" i="7"/>
  <c r="E42" i="7" s="1"/>
  <c r="K59" i="7"/>
  <c r="F39" i="7"/>
  <c r="D44" i="7"/>
  <c r="D43" i="7"/>
  <c r="M10" i="7" l="1"/>
  <c r="N30" i="7"/>
  <c r="O56" i="7"/>
  <c r="O62" i="7" s="1"/>
  <c r="M37" i="7"/>
  <c r="K31" i="7"/>
  <c r="K33" i="7"/>
  <c r="K34" i="7"/>
  <c r="N34" i="7"/>
  <c r="N31" i="7"/>
  <c r="N32" i="7"/>
  <c r="N33" i="7"/>
  <c r="N35" i="7"/>
  <c r="K35" i="7"/>
  <c r="K32" i="7"/>
  <c r="N36" i="7"/>
  <c r="D70" i="7"/>
  <c r="D69" i="7"/>
  <c r="D18" i="7"/>
  <c r="D17" i="7"/>
  <c r="G13" i="7"/>
  <c r="G15" i="7" s="1"/>
  <c r="G67" i="7"/>
  <c r="G68" i="7" s="1"/>
  <c r="H65" i="7"/>
  <c r="E68" i="7"/>
  <c r="E16" i="7"/>
  <c r="K63" i="7"/>
  <c r="AB6" i="7"/>
  <c r="AB8" i="7"/>
  <c r="AB9" i="7"/>
  <c r="AB7" i="7"/>
  <c r="AB5" i="7"/>
  <c r="R6" i="7"/>
  <c r="R5" i="7"/>
  <c r="R7" i="7"/>
  <c r="R9" i="7"/>
  <c r="R8" i="7"/>
  <c r="F41" i="7"/>
  <c r="F42" i="7" s="1"/>
  <c r="L59" i="7"/>
  <c r="L57" i="7"/>
  <c r="L60" i="7"/>
  <c r="L61" i="7"/>
  <c r="L58" i="7"/>
  <c r="G39" i="7"/>
  <c r="G41" i="7" s="1"/>
  <c r="E44" i="7"/>
  <c r="E43" i="7"/>
  <c r="N10" i="7" l="1"/>
  <c r="O30" i="7"/>
  <c r="P56" i="7"/>
  <c r="P62" i="7" s="1"/>
  <c r="K37" i="7"/>
  <c r="N37" i="7"/>
  <c r="E18" i="7"/>
  <c r="E17" i="7"/>
  <c r="E69" i="7"/>
  <c r="E70" i="7"/>
  <c r="H13" i="7"/>
  <c r="H67" i="7"/>
  <c r="H68" i="7" s="1"/>
  <c r="I65" i="7"/>
  <c r="AC9" i="7"/>
  <c r="AC8" i="7"/>
  <c r="AC7" i="7"/>
  <c r="L63" i="7"/>
  <c r="AC6" i="7"/>
  <c r="AC5" i="7"/>
  <c r="Q9" i="7"/>
  <c r="Q8" i="7"/>
  <c r="Q5" i="7"/>
  <c r="Q7" i="7"/>
  <c r="Q6" i="7"/>
  <c r="M61" i="7"/>
  <c r="M60" i="7"/>
  <c r="M59" i="7"/>
  <c r="M58" i="7"/>
  <c r="M57" i="7"/>
  <c r="G70" i="7"/>
  <c r="G69" i="7"/>
  <c r="P5" i="7"/>
  <c r="P9" i="7"/>
  <c r="P8" i="7"/>
  <c r="P6" i="7"/>
  <c r="P7" i="7"/>
  <c r="F43" i="7"/>
  <c r="F44" i="7"/>
  <c r="H39" i="7"/>
  <c r="G42" i="7"/>
  <c r="G43" i="7" s="1"/>
  <c r="I13" i="7" l="1"/>
  <c r="O32" i="7"/>
  <c r="O34" i="7"/>
  <c r="O36" i="7"/>
  <c r="O35" i="7"/>
  <c r="O33" i="7"/>
  <c r="O31" i="7"/>
  <c r="O37" i="7" s="1"/>
  <c r="O10" i="7"/>
  <c r="P30" i="7"/>
  <c r="Q56" i="7"/>
  <c r="Q62" i="7" s="1"/>
  <c r="F18" i="7"/>
  <c r="F17" i="7"/>
  <c r="G16" i="7"/>
  <c r="I67" i="7"/>
  <c r="I68" i="7" s="1"/>
  <c r="J65" i="7"/>
  <c r="M63" i="7"/>
  <c r="H41" i="7"/>
  <c r="H42" i="7" s="1"/>
  <c r="H43" i="7" s="1"/>
  <c r="N58" i="7"/>
  <c r="N61" i="7"/>
  <c r="N60" i="7"/>
  <c r="N59" i="7"/>
  <c r="N57" i="7"/>
  <c r="H70" i="7"/>
  <c r="H69" i="7"/>
  <c r="O8" i="7"/>
  <c r="O7" i="7"/>
  <c r="O6" i="7"/>
  <c r="O5" i="7"/>
  <c r="O9" i="7"/>
  <c r="K13" i="7"/>
  <c r="I39" i="7"/>
  <c r="I41" i="7" s="1"/>
  <c r="G44" i="7"/>
  <c r="J13" i="7" l="1"/>
  <c r="P32" i="7"/>
  <c r="P34" i="7"/>
  <c r="P35" i="7"/>
  <c r="P31" i="7"/>
  <c r="P33" i="7"/>
  <c r="P36" i="7"/>
  <c r="P37" i="7" s="1"/>
  <c r="P10" i="7"/>
  <c r="P11" i="7" s="1"/>
  <c r="Q30" i="7"/>
  <c r="R56" i="7"/>
  <c r="R62" i="7" s="1"/>
  <c r="Q36" i="7"/>
  <c r="Q31" i="7"/>
  <c r="Q35" i="7"/>
  <c r="Q33" i="7"/>
  <c r="Q32" i="7"/>
  <c r="Q34" i="7"/>
  <c r="O11" i="7"/>
  <c r="G17" i="7"/>
  <c r="G18" i="7"/>
  <c r="J67" i="7"/>
  <c r="J68" i="7" s="1"/>
  <c r="K65" i="7"/>
  <c r="N63" i="7"/>
  <c r="O58" i="7"/>
  <c r="O59" i="7"/>
  <c r="O57" i="7"/>
  <c r="O61" i="7"/>
  <c r="O60" i="7"/>
  <c r="I70" i="7"/>
  <c r="I69" i="7"/>
  <c r="N9" i="7"/>
  <c r="N6" i="7"/>
  <c r="N5" i="7"/>
  <c r="N8" i="7"/>
  <c r="N7" i="7"/>
  <c r="L13" i="7"/>
  <c r="J39" i="7"/>
  <c r="I42" i="7"/>
  <c r="I43" i="7" s="1"/>
  <c r="H44" i="7"/>
  <c r="Q10" i="7" l="1"/>
  <c r="Q11" i="7" s="1"/>
  <c r="R30" i="7"/>
  <c r="N11" i="7"/>
  <c r="S56" i="7"/>
  <c r="S62" i="7" s="1"/>
  <c r="R32" i="7"/>
  <c r="R34" i="7"/>
  <c r="R36" i="7"/>
  <c r="R35" i="7"/>
  <c r="R33" i="7"/>
  <c r="R31" i="7"/>
  <c r="Q37" i="7"/>
  <c r="K67" i="7"/>
  <c r="K68" i="7" s="1"/>
  <c r="L65" i="7"/>
  <c r="O63" i="7"/>
  <c r="J41" i="7"/>
  <c r="J42" i="7" s="1"/>
  <c r="J43" i="7" s="1"/>
  <c r="P58" i="7"/>
  <c r="P61" i="7"/>
  <c r="P60" i="7"/>
  <c r="P59" i="7"/>
  <c r="P57" i="7"/>
  <c r="J70" i="7"/>
  <c r="J69" i="7"/>
  <c r="M9" i="7"/>
  <c r="M5" i="7"/>
  <c r="M6" i="7"/>
  <c r="M8" i="7"/>
  <c r="M7" i="7"/>
  <c r="M13" i="7"/>
  <c r="K39" i="7"/>
  <c r="K41" i="7" s="1"/>
  <c r="I44" i="7"/>
  <c r="R10" i="7" l="1"/>
  <c r="R11" i="7" s="1"/>
  <c r="S30" i="7"/>
  <c r="T56" i="7"/>
  <c r="T62" i="7" s="1"/>
  <c r="S34" i="7"/>
  <c r="S32" i="7"/>
  <c r="S35" i="7"/>
  <c r="S33" i="7"/>
  <c r="S31" i="7"/>
  <c r="S36" i="7"/>
  <c r="R37" i="7"/>
  <c r="M11" i="7"/>
  <c r="M15" i="7" s="1"/>
  <c r="L67" i="7"/>
  <c r="L68" i="7" s="1"/>
  <c r="M65" i="7"/>
  <c r="P63" i="7"/>
  <c r="Q60" i="7"/>
  <c r="Q58" i="7"/>
  <c r="Q61" i="7"/>
  <c r="Q59" i="7"/>
  <c r="Q57" i="7"/>
  <c r="K70" i="7"/>
  <c r="K69" i="7"/>
  <c r="L6" i="7"/>
  <c r="L5" i="7"/>
  <c r="L8" i="7"/>
  <c r="L9" i="7"/>
  <c r="L7" i="7"/>
  <c r="N13" i="7"/>
  <c r="N15" i="7" s="1"/>
  <c r="L39" i="7"/>
  <c r="L41" i="7" s="1"/>
  <c r="J44" i="7"/>
  <c r="K42" i="7"/>
  <c r="K43" i="7" s="1"/>
  <c r="S10" i="7" l="1"/>
  <c r="S11" i="7" s="1"/>
  <c r="T30" i="7"/>
  <c r="U56" i="7"/>
  <c r="U62" i="7" s="1"/>
  <c r="S37" i="7"/>
  <c r="T34" i="7"/>
  <c r="T32" i="7"/>
  <c r="T36" i="7"/>
  <c r="T31" i="7"/>
  <c r="T33" i="7"/>
  <c r="T35" i="7"/>
  <c r="L11" i="7"/>
  <c r="L15" i="7" s="1"/>
  <c r="M67" i="7"/>
  <c r="M68" i="7" s="1"/>
  <c r="N65" i="7"/>
  <c r="Q63" i="7"/>
  <c r="R61" i="7"/>
  <c r="R60" i="7"/>
  <c r="R59" i="7"/>
  <c r="R58" i="7"/>
  <c r="R57" i="7"/>
  <c r="L70" i="7"/>
  <c r="L69" i="7"/>
  <c r="K5" i="7"/>
  <c r="K7" i="7"/>
  <c r="K9" i="7"/>
  <c r="K8" i="7"/>
  <c r="K6" i="7"/>
  <c r="M16" i="7"/>
  <c r="O13" i="7"/>
  <c r="O15" i="7" s="1"/>
  <c r="M39" i="7"/>
  <c r="M41" i="7" s="1"/>
  <c r="K44" i="7"/>
  <c r="U30" i="7" l="1"/>
  <c r="T10" i="7"/>
  <c r="T11" i="7" s="1"/>
  <c r="V56" i="7"/>
  <c r="V62" i="7" s="1"/>
  <c r="U36" i="7"/>
  <c r="U31" i="7"/>
  <c r="T37" i="7"/>
  <c r="K11" i="7"/>
  <c r="K15" i="7" s="1"/>
  <c r="N67" i="7"/>
  <c r="N68" i="7" s="1"/>
  <c r="O65" i="7"/>
  <c r="R63" i="7"/>
  <c r="S60" i="7"/>
  <c r="S59" i="7"/>
  <c r="S57" i="7"/>
  <c r="S61" i="7"/>
  <c r="S58" i="7"/>
  <c r="L16" i="7"/>
  <c r="M70" i="7"/>
  <c r="M69" i="7"/>
  <c r="J8" i="7"/>
  <c r="J7" i="7"/>
  <c r="J6" i="7"/>
  <c r="J9" i="7"/>
  <c r="J5" i="7"/>
  <c r="M17" i="7"/>
  <c r="M18" i="7"/>
  <c r="N16" i="7"/>
  <c r="P13" i="7"/>
  <c r="P15" i="7" s="1"/>
  <c r="L42" i="7"/>
  <c r="N39" i="7"/>
  <c r="N41" i="7" s="1"/>
  <c r="V30" i="7" l="1"/>
  <c r="U10" i="7"/>
  <c r="U11" i="7" s="1"/>
  <c r="U33" i="7"/>
  <c r="U35" i="7"/>
  <c r="U34" i="7"/>
  <c r="U32" i="7"/>
  <c r="W56" i="7"/>
  <c r="W62" i="7" s="1"/>
  <c r="V32" i="7"/>
  <c r="V34" i="7"/>
  <c r="V35" i="7"/>
  <c r="V36" i="7"/>
  <c r="V33" i="7"/>
  <c r="V31" i="7"/>
  <c r="U37" i="7"/>
  <c r="J11" i="7"/>
  <c r="J15" i="7" s="1"/>
  <c r="J16" i="7" s="1"/>
  <c r="P65" i="7"/>
  <c r="O67" i="7"/>
  <c r="O68" i="7" s="1"/>
  <c r="L17" i="7"/>
  <c r="L18" i="7"/>
  <c r="S63" i="7"/>
  <c r="T60" i="7"/>
  <c r="T58" i="7"/>
  <c r="T61" i="7"/>
  <c r="T59" i="7"/>
  <c r="T57" i="7"/>
  <c r="K16" i="7"/>
  <c r="N69" i="7"/>
  <c r="N70" i="7"/>
  <c r="I6" i="7"/>
  <c r="I7" i="7"/>
  <c r="I8" i="7"/>
  <c r="I5" i="7"/>
  <c r="I9" i="7"/>
  <c r="N17" i="7"/>
  <c r="N18" i="7"/>
  <c r="O16" i="7"/>
  <c r="Q13" i="7"/>
  <c r="Q15" i="7" s="1"/>
  <c r="L43" i="7"/>
  <c r="L44" i="7"/>
  <c r="M42" i="7"/>
  <c r="O39" i="7"/>
  <c r="O41" i="7" s="1"/>
  <c r="V10" i="7" l="1"/>
  <c r="V11" i="7" s="1"/>
  <c r="W30" i="7"/>
  <c r="X56" i="7"/>
  <c r="X62" i="7" s="1"/>
  <c r="V37" i="7"/>
  <c r="I11" i="7"/>
  <c r="I15" i="7" s="1"/>
  <c r="P67" i="7"/>
  <c r="P68" i="7" s="1"/>
  <c r="Q65" i="7"/>
  <c r="T63" i="7"/>
  <c r="U60" i="7"/>
  <c r="U59" i="7"/>
  <c r="U57" i="7"/>
  <c r="U58" i="7"/>
  <c r="U61" i="7"/>
  <c r="K18" i="7"/>
  <c r="K17" i="7"/>
  <c r="O70" i="7"/>
  <c r="O69" i="7"/>
  <c r="H7" i="7"/>
  <c r="H6" i="7"/>
  <c r="H8" i="7"/>
  <c r="H9" i="7"/>
  <c r="H5" i="7"/>
  <c r="J17" i="7"/>
  <c r="J18" i="7"/>
  <c r="O18" i="7"/>
  <c r="O17" i="7"/>
  <c r="P16" i="7"/>
  <c r="R13" i="7"/>
  <c r="R15" i="7" s="1"/>
  <c r="M43" i="7"/>
  <c r="M44" i="7"/>
  <c r="N42" i="7"/>
  <c r="P39" i="7"/>
  <c r="P41" i="7" s="1"/>
  <c r="X30" i="7" l="1"/>
  <c r="W10" i="7"/>
  <c r="W11" i="7" s="1"/>
  <c r="W32" i="7"/>
  <c r="W35" i="7"/>
  <c r="W34" i="7"/>
  <c r="W36" i="7"/>
  <c r="W33" i="7"/>
  <c r="W31" i="7"/>
  <c r="Y56" i="7"/>
  <c r="Y62" i="7" s="1"/>
  <c r="X34" i="7"/>
  <c r="X32" i="7"/>
  <c r="X35" i="7"/>
  <c r="X33" i="7"/>
  <c r="X31" i="7"/>
  <c r="X36" i="7"/>
  <c r="H11" i="7"/>
  <c r="H15" i="7" s="1"/>
  <c r="Q67" i="7"/>
  <c r="Q68" i="7" s="1"/>
  <c r="R65" i="7"/>
  <c r="U63" i="7"/>
  <c r="V57" i="7"/>
  <c r="V61" i="7"/>
  <c r="V59" i="7"/>
  <c r="V60" i="7"/>
  <c r="V58" i="7"/>
  <c r="P70" i="7"/>
  <c r="P69" i="7"/>
  <c r="I16" i="7"/>
  <c r="P18" i="7"/>
  <c r="P17" i="7"/>
  <c r="Q16" i="7"/>
  <c r="S13" i="7"/>
  <c r="S15" i="7" s="1"/>
  <c r="N44" i="7"/>
  <c r="N43" i="7"/>
  <c r="O42" i="7"/>
  <c r="Q39" i="7"/>
  <c r="Q41" i="7" s="1"/>
  <c r="W37" i="7" l="1"/>
  <c r="Y30" i="7"/>
  <c r="Y31" i="7" s="1"/>
  <c r="X10" i="7"/>
  <c r="X11" i="7" s="1"/>
  <c r="Z56" i="7"/>
  <c r="Z62" i="7" s="1"/>
  <c r="Y34" i="7"/>
  <c r="Y32" i="7"/>
  <c r="Y36" i="7"/>
  <c r="Y35" i="7"/>
  <c r="Y33" i="7"/>
  <c r="X37" i="7"/>
  <c r="R67" i="7"/>
  <c r="R68" i="7" s="1"/>
  <c r="S65" i="7"/>
  <c r="V63" i="7"/>
  <c r="I18" i="7"/>
  <c r="I17" i="7"/>
  <c r="W61" i="7"/>
  <c r="W58" i="7"/>
  <c r="W59" i="7"/>
  <c r="W57" i="7"/>
  <c r="W60" i="7"/>
  <c r="Q70" i="7"/>
  <c r="Q69" i="7"/>
  <c r="H16" i="7"/>
  <c r="Q18" i="7"/>
  <c r="Q17" i="7"/>
  <c r="R16" i="7"/>
  <c r="T13" i="7"/>
  <c r="T15" i="7" s="1"/>
  <c r="O43" i="7"/>
  <c r="O44" i="7"/>
  <c r="P42" i="7"/>
  <c r="R39" i="7"/>
  <c r="R41" i="7" s="1"/>
  <c r="Z30" i="7" l="1"/>
  <c r="Y10" i="7"/>
  <c r="Y11" i="7" s="1"/>
  <c r="AA56" i="7"/>
  <c r="AA62" i="7" s="1"/>
  <c r="Z33" i="7"/>
  <c r="Z31" i="7"/>
  <c r="Z35" i="7"/>
  <c r="Z32" i="7"/>
  <c r="Z34" i="7"/>
  <c r="Z36" i="7"/>
  <c r="Y37" i="7"/>
  <c r="S67" i="7"/>
  <c r="S68" i="7" s="1"/>
  <c r="T65" i="7"/>
  <c r="W63" i="7"/>
  <c r="X57" i="7"/>
  <c r="X58" i="7"/>
  <c r="X59" i="7"/>
  <c r="X60" i="7"/>
  <c r="X61" i="7"/>
  <c r="H18" i="7"/>
  <c r="H17" i="7"/>
  <c r="R69" i="7"/>
  <c r="R70" i="7"/>
  <c r="R18" i="7"/>
  <c r="R17" i="7"/>
  <c r="S16" i="7"/>
  <c r="U13" i="7"/>
  <c r="U15" i="7" s="1"/>
  <c r="P44" i="7"/>
  <c r="P43" i="7"/>
  <c r="Q42" i="7"/>
  <c r="S39" i="7"/>
  <c r="S41" i="7" s="1"/>
  <c r="AA30" i="7" l="1"/>
  <c r="Z10" i="7"/>
  <c r="Z11" i="7" s="1"/>
  <c r="AB56" i="7"/>
  <c r="AB62" i="7" s="1"/>
  <c r="AA36" i="7"/>
  <c r="AA35" i="7"/>
  <c r="AA31" i="7"/>
  <c r="AA33" i="7"/>
  <c r="AA34" i="7"/>
  <c r="AA32" i="7"/>
  <c r="Z37" i="7"/>
  <c r="U65" i="7"/>
  <c r="T67" i="7"/>
  <c r="T68" i="7" s="1"/>
  <c r="X63" i="7"/>
  <c r="Y61" i="7"/>
  <c r="Y58" i="7"/>
  <c r="Y57" i="7"/>
  <c r="Y60" i="7"/>
  <c r="Y59" i="7"/>
  <c r="S70" i="7"/>
  <c r="S69" i="7"/>
  <c r="S18" i="7"/>
  <c r="S17" i="7"/>
  <c r="T16" i="7"/>
  <c r="V13" i="7"/>
  <c r="V15" i="7" s="1"/>
  <c r="Q43" i="7"/>
  <c r="Q44" i="7"/>
  <c r="R42" i="7"/>
  <c r="T39" i="7"/>
  <c r="T41" i="7" s="1"/>
  <c r="AB30" i="7" l="1"/>
  <c r="AA10" i="7"/>
  <c r="AA11" i="7" s="1"/>
  <c r="AC56" i="7"/>
  <c r="AC62" i="7" s="1"/>
  <c r="AB33" i="7"/>
  <c r="AB36" i="7"/>
  <c r="AB31" i="7"/>
  <c r="AB35" i="7"/>
  <c r="AB32" i="7"/>
  <c r="AB34" i="7"/>
  <c r="AA37" i="7"/>
  <c r="V65" i="7"/>
  <c r="U67" i="7"/>
  <c r="U68" i="7" s="1"/>
  <c r="Y63" i="7"/>
  <c r="Z61" i="7"/>
  <c r="Z58" i="7"/>
  <c r="Z60" i="7"/>
  <c r="Z57" i="7"/>
  <c r="Z59" i="7"/>
  <c r="T70" i="7"/>
  <c r="T69" i="7"/>
  <c r="T17" i="7"/>
  <c r="T18" i="7"/>
  <c r="U16" i="7"/>
  <c r="W13" i="7"/>
  <c r="W15" i="7" s="1"/>
  <c r="R44" i="7"/>
  <c r="R43" i="7"/>
  <c r="S42" i="7"/>
  <c r="U39" i="7"/>
  <c r="U41" i="7" s="1"/>
  <c r="AC30" i="7" l="1"/>
  <c r="AB10" i="7"/>
  <c r="AB11" i="7" s="1"/>
  <c r="AB37" i="7"/>
  <c r="V67" i="7"/>
  <c r="V68" i="7" s="1"/>
  <c r="W65" i="7"/>
  <c r="Z63" i="7"/>
  <c r="AA59" i="7"/>
  <c r="AA58" i="7"/>
  <c r="AA57" i="7"/>
  <c r="AA60" i="7"/>
  <c r="AA61" i="7"/>
  <c r="U70" i="7"/>
  <c r="U69" i="7"/>
  <c r="U18" i="7"/>
  <c r="U17" i="7"/>
  <c r="V16" i="7"/>
  <c r="X13" i="7"/>
  <c r="X15" i="7" s="1"/>
  <c r="S44" i="7"/>
  <c r="S43" i="7"/>
  <c r="T42" i="7"/>
  <c r="V39" i="7"/>
  <c r="V41" i="7" s="1"/>
  <c r="AC35" i="7" l="1"/>
  <c r="AC34" i="7"/>
  <c r="AC36" i="7"/>
  <c r="AC32" i="7"/>
  <c r="AC33" i="7"/>
  <c r="AC31" i="7"/>
  <c r="AE30" i="7"/>
  <c r="AC10" i="7"/>
  <c r="AC11" i="7" s="1"/>
  <c r="W67" i="7"/>
  <c r="W68" i="7" s="1"/>
  <c r="X65" i="7"/>
  <c r="AA63" i="7"/>
  <c r="AB60" i="7"/>
  <c r="AB59" i="7"/>
  <c r="AB57" i="7"/>
  <c r="AB58" i="7"/>
  <c r="AB61" i="7"/>
  <c r="V70" i="7"/>
  <c r="V69" i="7"/>
  <c r="V18" i="7"/>
  <c r="V17" i="7"/>
  <c r="W16" i="7"/>
  <c r="Y13" i="7"/>
  <c r="Y15" i="7" s="1"/>
  <c r="T43" i="7"/>
  <c r="T44" i="7"/>
  <c r="U42" i="7"/>
  <c r="W39" i="7"/>
  <c r="W41" i="7" s="1"/>
  <c r="AC37" i="7" l="1"/>
  <c r="X67" i="7"/>
  <c r="X68" i="7" s="1"/>
  <c r="Y65" i="7"/>
  <c r="AB63" i="7"/>
  <c r="AC61" i="7"/>
  <c r="AC57" i="7"/>
  <c r="AC58" i="7"/>
  <c r="AC60" i="7"/>
  <c r="AC59" i="7"/>
  <c r="W70" i="7"/>
  <c r="W69" i="7"/>
  <c r="W18" i="7"/>
  <c r="W17" i="7"/>
  <c r="X16" i="7"/>
  <c r="Z13" i="7"/>
  <c r="Z15" i="7" s="1"/>
  <c r="U43" i="7"/>
  <c r="U44" i="7"/>
  <c r="V42" i="7"/>
  <c r="X39" i="7"/>
  <c r="X41" i="7" s="1"/>
  <c r="Y67" i="7" l="1"/>
  <c r="Y68" i="7" s="1"/>
  <c r="Z65" i="7"/>
  <c r="Z67" i="7" s="1"/>
  <c r="AC63" i="7"/>
  <c r="AA65" i="7"/>
  <c r="X69" i="7"/>
  <c r="X70" i="7"/>
  <c r="X18" i="7"/>
  <c r="X17" i="7"/>
  <c r="Y16" i="7"/>
  <c r="AA13" i="7"/>
  <c r="AA15" i="7" s="1"/>
  <c r="V44" i="7"/>
  <c r="V43" i="7"/>
  <c r="W42" i="7"/>
  <c r="Y39" i="7"/>
  <c r="Y41" i="7" s="1"/>
  <c r="Z68" i="7" l="1"/>
  <c r="AA67" i="7"/>
  <c r="AB65" i="7"/>
  <c r="Y69" i="7"/>
  <c r="Y70" i="7"/>
  <c r="Y18" i="7"/>
  <c r="Y17" i="7"/>
  <c r="Z16" i="7"/>
  <c r="AB13" i="7"/>
  <c r="AB15" i="7" s="1"/>
  <c r="W44" i="7"/>
  <c r="W43" i="7"/>
  <c r="X42" i="7"/>
  <c r="Z39" i="7"/>
  <c r="Z41" i="7" s="1"/>
  <c r="AA68" i="7" l="1"/>
  <c r="AB67" i="7"/>
  <c r="AC65" i="7"/>
  <c r="Z70" i="7"/>
  <c r="Z69" i="7"/>
  <c r="Z17" i="7"/>
  <c r="Z18" i="7"/>
  <c r="AA16" i="7"/>
  <c r="AC13" i="7"/>
  <c r="AC15" i="7" s="1"/>
  <c r="X43" i="7"/>
  <c r="X44" i="7"/>
  <c r="Y42" i="7"/>
  <c r="AA39" i="7"/>
  <c r="AA41" i="7" s="1"/>
  <c r="B25" i="7" l="1"/>
  <c r="AC16" i="7"/>
  <c r="AB68" i="7"/>
  <c r="B74" i="7"/>
  <c r="AC67" i="7"/>
  <c r="AA69" i="7"/>
  <c r="AA70" i="7"/>
  <c r="AA17" i="7"/>
  <c r="AA18" i="7"/>
  <c r="B22" i="7"/>
  <c r="AB16" i="7"/>
  <c r="Y43" i="7"/>
  <c r="Y44" i="7"/>
  <c r="Z42" i="7"/>
  <c r="AB39" i="7"/>
  <c r="AB41" i="7" s="1"/>
  <c r="AC68" i="7" l="1"/>
  <c r="AB70" i="7"/>
  <c r="AB69" i="7"/>
  <c r="AB18" i="7"/>
  <c r="AB17" i="7"/>
  <c r="AC18" i="7"/>
  <c r="AC17" i="7"/>
  <c r="Z44" i="7"/>
  <c r="Z43" i="7"/>
  <c r="AA42" i="7"/>
  <c r="AC39" i="7"/>
  <c r="AC41" i="7" l="1"/>
  <c r="B51" i="7"/>
  <c r="AC69" i="7"/>
  <c r="AC70" i="7"/>
  <c r="B20" i="7"/>
  <c r="B23" i="7"/>
  <c r="B24" i="7"/>
  <c r="AA44" i="7"/>
  <c r="AA43" i="7"/>
  <c r="AB42" i="7"/>
  <c r="B48" i="7"/>
  <c r="AB44" i="7" l="1"/>
  <c r="AB43" i="7"/>
  <c r="AC42" i="7"/>
  <c r="AC43" i="7" s="1"/>
  <c r="B49" i="7" l="1"/>
  <c r="AC44" i="7"/>
  <c r="B46" i="7" s="1"/>
  <c r="B50" i="7"/>
  <c r="F67" i="7"/>
  <c r="F68" i="7" l="1"/>
  <c r="F70" i="7" l="1"/>
  <c r="B72" i="7" s="1"/>
  <c r="F69" i="7"/>
  <c r="B76" i="7" l="1"/>
  <c r="B75" i="7"/>
</calcChain>
</file>

<file path=xl/sharedStrings.xml><?xml version="1.0" encoding="utf-8"?>
<sst xmlns="http://schemas.openxmlformats.org/spreadsheetml/2006/main" count="230" uniqueCount="192">
  <si>
    <t>Капитальные затраты (CapEx)</t>
  </si>
  <si>
    <t>Закупка оборудования</t>
  </si>
  <si>
    <t>Ремонт/обустройство помещения</t>
  </si>
  <si>
    <t>Лицензии, патенты</t>
  </si>
  <si>
    <t>Первичный маркетинг (сайт, брендбук, рекламные материалы)</t>
  </si>
  <si>
    <t>Операционные расходы (OpEx)</t>
  </si>
  <si>
    <t>Статья расходов</t>
  </si>
  <si>
    <t>Сумма</t>
  </si>
  <si>
    <t>Что входит</t>
  </si>
  <si>
    <t>Адаптация алгоритма рекомендаций</t>
  </si>
  <si>
    <t>На основе поведения пользователя</t>
  </si>
  <si>
    <t>Тестирование и QA</t>
  </si>
  <si>
    <t>Бета-тестирование, исправление багов</t>
  </si>
  <si>
    <t>Дизайн интерфейса (UI/UX)</t>
  </si>
  <si>
    <t>Визуальное оформление, анимации, переходы</t>
  </si>
  <si>
    <t>Период (мес.)</t>
  </si>
  <si>
    <t>Налог на прибыль</t>
  </si>
  <si>
    <t>Описание</t>
  </si>
  <si>
    <t>Обоснование</t>
  </si>
  <si>
    <t>Другие данные для расчетов</t>
  </si>
  <si>
    <t>Премия за риск</t>
  </si>
  <si>
    <t>На 2026</t>
  </si>
  <si>
    <t>На 2027</t>
  </si>
  <si>
    <t>Оптимистичный сценарий</t>
  </si>
  <si>
    <t xml:space="preserve">Сумма </t>
  </si>
  <si>
    <t/>
  </si>
  <si>
    <t>Поддержка алгоритма рекомендаций, багфиксы, A/B тесты</t>
  </si>
  <si>
    <t>Средняя зарплата backend/frontend + ML-инженер</t>
  </si>
  <si>
    <t>Хранение и потоковая передача видео (1000+ Reels в день)</t>
  </si>
  <si>
    <t>AWS / Yandex Cloud, оптимизация под мобильный трафик</t>
  </si>
  <si>
    <t>Интеграция с GA4, Amplitude, внутренние дашборды</t>
  </si>
  <si>
    <t>Обнаружение спама, фейковых аккаунтов, неприемлемого контента</t>
  </si>
  <si>
    <t>Платформа LikeAPro / Yandex Cloud Vision + кастомный ML</t>
  </si>
  <si>
    <t>Проверка спорных случаев, жалобы</t>
  </si>
  <si>
    <t>3 модератора × 150 тыс. руб.</t>
  </si>
  <si>
    <t>2–3 теста в месяц, включая инструменты</t>
  </si>
  <si>
    <t>Платформы: Optimizely, Google Optimize, внутренние</t>
  </si>
  <si>
    <t>Фокус-группы, интервью, опросы</t>
  </si>
  <si>
    <t>2–3 фокус-группы в месяц</t>
  </si>
  <si>
    <t>Договоры с создателями, лицензии на музыку, бренды</t>
  </si>
  <si>
    <t>Юрист + договоры с 50+ авторами в месяц</t>
  </si>
  <si>
    <t>Мес.</t>
  </si>
  <si>
    <t>Техническая поддержка и разработка</t>
  </si>
  <si>
    <t>Инженеры (2 чел.)</t>
  </si>
  <si>
    <t>Серверы и CDN</t>
  </si>
  <si>
    <t>Аналитика (внутренние системы)</t>
  </si>
  <si>
    <t>Модерация и безопасность</t>
  </si>
  <si>
    <t>Автоматическая модерация (AI)</t>
  </si>
  <si>
    <t>Ручная модерация (3 человека)</t>
  </si>
  <si>
    <t>A/B тесты (UI/UX, алгоритмы)</t>
  </si>
  <si>
    <t>Исследования пользователей</t>
  </si>
  <si>
    <t>Юридические и лицензионные расходы</t>
  </si>
  <si>
    <t>Права на использование контента</t>
  </si>
  <si>
    <t>Непредвиденные расходы</t>
  </si>
  <si>
    <t>Анализ, тестирование и оптимизация</t>
  </si>
  <si>
    <t>На 2028</t>
  </si>
  <si>
    <t>NPV</t>
  </si>
  <si>
    <t>Дисконтированный CF</t>
  </si>
  <si>
    <t>Базовый сценарий</t>
  </si>
  <si>
    <t>Срок окупаемости (мес)</t>
  </si>
  <si>
    <t>Пессимистичный сценарий</t>
  </si>
  <si>
    <t>Средний процент</t>
  </si>
  <si>
    <t>CF</t>
  </si>
  <si>
    <t>OpEX</t>
  </si>
  <si>
    <t>IRR</t>
  </si>
  <si>
    <t>WACC</t>
  </si>
  <si>
    <t>Прибыль до налогообложения</t>
  </si>
  <si>
    <t xml:space="preserve">Разработка </t>
  </si>
  <si>
    <t>Количество показов</t>
  </si>
  <si>
    <t>Источник</t>
  </si>
  <si>
    <t>https://cbr.ru/Content/Document/File/184551/forecast_251024.pdf</t>
  </si>
  <si>
    <t>Стандартная премия за операционные и отраслевые риски, характерная для цифровых и IT-секторов.</t>
  </si>
  <si>
    <t>Облигации федерального займа со сроком погашения 2-3 года используются как безрисковая ставка</t>
  </si>
  <si>
    <t xml:space="preserve">Прогноз инфляции Банка России и Минэкономразвития с учетом постепенного замедления инфляционных процессов.
</t>
  </si>
  <si>
    <t>Оптимизация интерфейса и алгоритмов увеличивает вовлечённость пользователей и среднее время просмотра, что приводит к росту показов рекламы.</t>
  </si>
  <si>
    <t>Операционные показатели VK</t>
  </si>
  <si>
    <t>средняя дневная аудитория (млн. пользователей)</t>
  </si>
  <si>
    <t>Time spent — среднее время, которое пользователи проводят в сервисах VK (млрд. минут в день)</t>
  </si>
  <si>
    <t>Финансовые показатели VK</t>
  </si>
  <si>
    <t>выручка (млрд.)</t>
  </si>
  <si>
    <t>выручка от онлайн-рекламы</t>
  </si>
  <si>
    <t>Развитие команды VK</t>
  </si>
  <si>
    <t>тыс. сотрудников</t>
  </si>
  <si>
    <t>Офисов и коворкингов</t>
  </si>
  <si>
    <t>городов присутствия</t>
  </si>
  <si>
    <t>Кол0во интернет пользователей (млн)</t>
  </si>
  <si>
    <t>населения страны старше 12 лет</t>
  </si>
  <si>
    <t>Корпоративное ПО</t>
  </si>
  <si>
    <t>Видеосервисы</t>
  </si>
  <si>
    <t xml:space="preserve">№1 российская видеоплатформа1 </t>
  </si>
  <si>
    <t>№1 российская платформа коротких вертикальных роликов1</t>
  </si>
  <si>
    <t>№3 в рейтинге крупнейших поставщиков собственных ИТ-решений5</t>
  </si>
  <si>
    <t>№2 на рынке корпоративной связи
и взаимодействия4</t>
  </si>
  <si>
    <t>VK tech</t>
  </si>
  <si>
    <t>VK Workspace</t>
  </si>
  <si>
    <t>VK видео</t>
  </si>
  <si>
    <t>Vk клипы</t>
  </si>
  <si>
    <t>Почтовые сервисы</t>
  </si>
  <si>
    <t>№1 почтовый сервис1</t>
  </si>
  <si>
    <t>mail</t>
  </si>
  <si>
    <t>Социальные сети</t>
  </si>
  <si>
    <t>№1 по числу активных авторов и по объему создаваемого контента2</t>
  </si>
  <si>
    <t>вконтакте</t>
  </si>
  <si>
    <t>Ключевые сегменты</t>
  </si>
  <si>
    <t>доля ИТ-специалистов</t>
  </si>
  <si>
    <t>Пользовательские платежи</t>
  </si>
  <si>
    <t>Образовательные технологии</t>
  </si>
  <si>
    <t>VK Tech</t>
  </si>
  <si>
    <t>Прочая выручка</t>
  </si>
  <si>
    <t>Данные VK видео</t>
  </si>
  <si>
    <t xml:space="preserve">Среднесуточное количество просмотров </t>
  </si>
  <si>
    <t>Новый какнал монетизации запустили</t>
  </si>
  <si>
    <t>Объем нативной рекламы  (млрд)</t>
  </si>
  <si>
    <t>новых авторов появилось на платформе за год (тыс.)</t>
  </si>
  <si>
    <t>Кол-во шоу</t>
  </si>
  <si>
    <t>рост совокупного времени смотрения
на платформе на конец 2024 года</t>
  </si>
  <si>
    <t>среднее время смотрения в приложении
на Smart TV на конец 2024 года (минут в день)</t>
  </si>
  <si>
    <t>установок приложения VK Видео (млн)</t>
  </si>
  <si>
    <t>единиц эксклюзивного контента вышло
на VK Видео в 2024 году (тыс)</t>
  </si>
  <si>
    <t>продуктовых обновлений в 2024 году</t>
  </si>
  <si>
    <t>Итоги 2024</t>
  </si>
  <si>
    <t xml:space="preserve">Подписка на "без рекламы" </t>
  </si>
  <si>
    <t>Кол-во зрителей в месяц (июнь 2025) по MediaScope</t>
  </si>
  <si>
    <t>Конверсия</t>
  </si>
  <si>
    <t>Ежегодный (Сумма млн руб.)</t>
  </si>
  <si>
    <t>ROI</t>
  </si>
  <si>
    <t>Безрисковая ставка</t>
  </si>
  <si>
    <t>Оплата за показ</t>
  </si>
  <si>
    <t>реклама от авторов</t>
  </si>
  <si>
    <t>Frontend + backend, интеграция с API VK, админка</t>
  </si>
  <si>
    <t>Статья маркетинговых расходов</t>
  </si>
  <si>
    <t>Формула расчета</t>
  </si>
  <si>
    <t>Реклама в VK Видео</t>
  </si>
  <si>
    <t>2 000 000 показов</t>
  </si>
  <si>
    <t>Плашки внутри VK (баннеры)</t>
  </si>
  <si>
    <t>1 500 000 показов</t>
  </si>
  <si>
    <t>Яндекс (видео/баннеры)</t>
  </si>
  <si>
    <t>1 000 000 показов</t>
  </si>
  <si>
    <t>Яндекс (поиск, клики)</t>
  </si>
  <si>
    <t>8 000 кликов</t>
  </si>
  <si>
    <t>—</t>
  </si>
  <si>
    <t>Медиа каналы</t>
  </si>
  <si>
    <t>Модель CRM/СPC</t>
  </si>
  <si>
    <t>Спонсорские интеграции в шоу</t>
  </si>
  <si>
    <t>Среднее число шоу в месяц</t>
  </si>
  <si>
    <t>Месячные контракты</t>
  </si>
  <si>
    <t>Брендированные плейлисты/каналы</t>
  </si>
  <si>
    <t>Среднее число брендов в месяц</t>
  </si>
  <si>
    <t>Реклама перед/после видео</t>
  </si>
  <si>
    <t>Тестовая версия
На данным момент не работает</t>
  </si>
  <si>
    <r>
      <t xml:space="preserve">Эффект
Стоимость </t>
    </r>
    <r>
      <rPr>
        <b/>
        <sz val="11"/>
        <color theme="8"/>
        <rFont val="Aptos Narrow"/>
      </rPr>
      <t xml:space="preserve">контранкта </t>
    </r>
    <r>
      <rPr>
        <b/>
        <sz val="11"/>
        <color theme="1"/>
        <rFont val="Aptos Narrow"/>
      </rPr>
      <t xml:space="preserve">или </t>
    </r>
    <r>
      <rPr>
        <b/>
        <sz val="11"/>
        <color theme="8"/>
        <rFont val="Aptos Narrow"/>
      </rPr>
      <t>CRM</t>
    </r>
    <r>
      <rPr>
        <b/>
        <sz val="11"/>
        <color theme="1"/>
        <rFont val="Aptos Narrow"/>
      </rPr>
      <t xml:space="preserve"> на 1000 показов</t>
    </r>
  </si>
  <si>
    <t>Конверсии</t>
  </si>
  <si>
    <t>Гипотеза</t>
  </si>
  <si>
    <t>Классический рост</t>
  </si>
  <si>
    <t>Общий рост времени в приложении</t>
  </si>
  <si>
    <t>Рост количества взаимодействий</t>
  </si>
  <si>
    <t>Рост в разделе</t>
  </si>
  <si>
    <t>Описание сценариев</t>
  </si>
  <si>
    <t>Оптимистичный</t>
  </si>
  <si>
    <t xml:space="preserve">Базовый </t>
  </si>
  <si>
    <t>Пессимистичный</t>
  </si>
  <si>
    <t>План показов
(Среднемесячное количество просмотров ВК видео за 2 кв. 2025 года - данные отчетности)</t>
  </si>
  <si>
    <t>Инфляция мес.</t>
  </si>
  <si>
    <t>Стоимость привлечения одного клиента</t>
  </si>
  <si>
    <t>Просмотры контента от онлайн школ</t>
  </si>
  <si>
    <t>В онлайн‑образовании учатся (примерно)</t>
  </si>
  <si>
    <t>https://www.tadviser.ru/index.php/Статья:Онлайн-образование_(рынок_России)</t>
  </si>
  <si>
    <t>https://marketing.rbc.ru/articles/16072/</t>
  </si>
  <si>
    <t>Количество студентов на дистанционных программах </t>
  </si>
  <si>
    <t>https://sberbusiness.live/publications/trendi-rinka-onlain-obrazovaniya-2024-chto-nuzhno-znat-esli-vi-reshili-otkrit-onlain-shkolu</t>
  </si>
  <si>
    <t>Количество просмотров : 
1 курс в год × 30 видеоуроков
В России с каждым годом количество онлайн курсов растет: возьмем 500 курсов в год в онлайн-формате</t>
  </si>
  <si>
    <t>№</t>
  </si>
  <si>
    <t>Статьи доходов</t>
  </si>
  <si>
    <t>У ВК ВИДЕО</t>
  </si>
  <si>
    <t>Данные MediaScope</t>
  </si>
  <si>
    <t>https://corp.vkcdn.ru/media/files/VK_IR_Presentation_H1_2025_OwIezHP.pdf</t>
  </si>
  <si>
    <t>На 2 года</t>
  </si>
  <si>
    <t>Статья расходов на коллаборацию с онлайн-школами</t>
  </si>
  <si>
    <t>Куммулятивная конверсия</t>
  </si>
  <si>
    <t>Спокойный рост конверсии
Куммулятивная конверсия достигается в 18 месяц
Коллаборационный контент от онлайн-школ дает половину контента</t>
  </si>
  <si>
    <t>Более агрессивный рост 
Куммулятивная конверсия достигается в 18 месяц
Коллаборационный контент от онлайн-школ дает весь расчитанный контент</t>
  </si>
  <si>
    <t>Первый месяц конверсия 1%, далее прирост накуммулятивную конверсию
Коллаборационный контент дает четверть рассчитаной конверсии</t>
  </si>
  <si>
    <t>Расходы, направленные на продвижение образовательного контента (IT, научпоп, маркетинг, AI)</t>
  </si>
  <si>
    <t>Затраты на алгоритмы</t>
  </si>
  <si>
    <t>ЗП инженера</t>
  </si>
  <si>
    <t>Таргетирование</t>
  </si>
  <si>
    <t>2000000/1000∗200</t>
  </si>
  <si>
    <t>1500000/1000∗100</t>
  </si>
  <si>
    <t>1000000/1000∗200</t>
  </si>
  <si>
    <t>8000/100∗100</t>
  </si>
  <si>
    <t>Яндекс (пуш-рассылка)</t>
  </si>
  <si>
    <t>77% россиян получают по 10 пушей в 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</si>
</sst>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\(#,##0\)"/>
    <numFmt numFmtId="165" formatCode="0.0%"/>
    <numFmt numFmtId="166" formatCode="0.000000000"/>
    <numFmt numFmtId="167" formatCode="#,##0.00\ &quot;₽&quot;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ptos Narrow"/>
    </font>
    <font>
      <b/>
      <sz val="14"/>
      <color rgb="FF2C2C36"/>
      <name val="Aptos Narrow"/>
    </font>
    <font>
      <sz val="14"/>
      <color theme="1"/>
      <name val="Aptos Narrow"/>
    </font>
    <font>
      <sz val="14"/>
      <color rgb="FF2C2C36"/>
      <name val="Aptos Narrow"/>
    </font>
    <font>
      <sz val="14"/>
      <color rgb="FF1D1D20"/>
      <name val="Aptos Narrow"/>
    </font>
    <font>
      <sz val="12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0"/>
      <name val="Aptos Narrow"/>
    </font>
    <font>
      <b/>
      <sz val="12"/>
      <color theme="1"/>
      <name val="Aptos Narrow"/>
    </font>
    <font>
      <sz val="8"/>
      <name val="Calibri"/>
      <family val="2"/>
      <scheme val="minor"/>
    </font>
    <font>
      <sz val="12"/>
      <name val="Aptos Narrow"/>
    </font>
    <font>
      <sz val="12"/>
      <color rgb="FF000000"/>
      <name val="Aptos Narrow"/>
    </font>
    <font>
      <b/>
      <sz val="12"/>
      <color rgb="FF000000"/>
      <name val="Aptos Narrow"/>
    </font>
    <font>
      <u/>
      <sz val="12"/>
      <color theme="10"/>
      <name val="Calibri"/>
      <family val="2"/>
      <scheme val="minor"/>
    </font>
    <font>
      <u/>
      <sz val="12"/>
      <color theme="10"/>
      <name val="Aptos Narrow"/>
    </font>
    <font>
      <sz val="16"/>
      <color rgb="FF333333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8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rgb="FFFF00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8" fillId="0" borderId="5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 wrapText="1"/>
    </xf>
    <xf numFmtId="0" fontId="9" fillId="0" borderId="0" xfId="0" applyFont="1"/>
    <xf numFmtId="0" fontId="8" fillId="0" borderId="5" xfId="0" applyFont="1" applyBorder="1" applyAlignment="1">
      <alignment horizontal="left" vertical="top"/>
    </xf>
    <xf numFmtId="165" fontId="9" fillId="0" borderId="5" xfId="0" applyNumberFormat="1" applyFont="1" applyBorder="1" applyAlignment="1">
      <alignment wrapText="1"/>
    </xf>
    <xf numFmtId="0" fontId="10" fillId="0" borderId="0" xfId="0" applyFont="1"/>
    <xf numFmtId="0" fontId="8" fillId="0" borderId="0" xfId="0" applyFont="1" applyAlignment="1">
      <alignment vertical="top" wrapText="1"/>
    </xf>
    <xf numFmtId="0" fontId="8" fillId="0" borderId="8" xfId="0" applyFont="1" applyBorder="1" applyAlignment="1">
      <alignment horizontal="left" vertical="top"/>
    </xf>
    <xf numFmtId="37" fontId="7" fillId="0" borderId="0" xfId="0" applyNumberFormat="1" applyFont="1"/>
    <xf numFmtId="37" fontId="7" fillId="0" borderId="9" xfId="0" applyNumberFormat="1" applyFont="1" applyBorder="1"/>
    <xf numFmtId="166" fontId="7" fillId="0" borderId="0" xfId="0" applyNumberFormat="1" applyFont="1"/>
    <xf numFmtId="164" fontId="7" fillId="0" borderId="0" xfId="0" applyNumberFormat="1" applyFont="1"/>
    <xf numFmtId="9" fontId="9" fillId="4" borderId="2" xfId="0" applyNumberFormat="1" applyFont="1" applyFill="1" applyBorder="1" applyAlignment="1">
      <alignment wrapText="1"/>
    </xf>
    <xf numFmtId="165" fontId="9" fillId="0" borderId="11" xfId="0" applyNumberFormat="1" applyFont="1" applyBorder="1"/>
    <xf numFmtId="0" fontId="11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vertical="top" wrapText="1"/>
    </xf>
    <xf numFmtId="17" fontId="11" fillId="0" borderId="3" xfId="0" applyNumberFormat="1" applyFont="1" applyBorder="1" applyAlignment="1">
      <alignment horizontal="center"/>
    </xf>
    <xf numFmtId="0" fontId="14" fillId="0" borderId="5" xfId="0" applyFont="1" applyBorder="1" applyAlignment="1">
      <alignment wrapText="1"/>
    </xf>
    <xf numFmtId="0" fontId="11" fillId="0" borderId="3" xfId="0" applyFont="1" applyBorder="1" applyAlignment="1">
      <alignment horizontal="center"/>
    </xf>
    <xf numFmtId="9" fontId="7" fillId="0" borderId="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5" fillId="3" borderId="10" xfId="0" applyFont="1" applyFill="1" applyBorder="1" applyAlignment="1">
      <alignment wrapText="1"/>
    </xf>
    <xf numFmtId="164" fontId="7" fillId="2" borderId="1" xfId="0" applyNumberFormat="1" applyFont="1" applyFill="1" applyBorder="1"/>
    <xf numFmtId="164" fontId="7" fillId="0" borderId="1" xfId="0" applyNumberFormat="1" applyFont="1" applyBorder="1"/>
    <xf numFmtId="164" fontId="7" fillId="0" borderId="6" xfId="0" applyNumberFormat="1" applyFont="1" applyBorder="1"/>
    <xf numFmtId="0" fontId="15" fillId="0" borderId="5" xfId="0" applyFont="1" applyBorder="1"/>
    <xf numFmtId="0" fontId="14" fillId="3" borderId="5" xfId="0" applyFont="1" applyFill="1" applyBorder="1"/>
    <xf numFmtId="0" fontId="14" fillId="3" borderId="0" xfId="0" applyFont="1" applyFill="1"/>
    <xf numFmtId="0" fontId="4" fillId="0" borderId="0" xfId="0" applyFont="1" applyAlignment="1">
      <alignment wrapText="1"/>
    </xf>
    <xf numFmtId="0" fontId="8" fillId="0" borderId="2" xfId="0" applyFont="1" applyBorder="1" applyAlignment="1">
      <alignment horizontal="left" vertical="top" wrapText="1"/>
    </xf>
    <xf numFmtId="0" fontId="17" fillId="0" borderId="11" xfId="2" applyFont="1" applyBorder="1" applyAlignment="1">
      <alignment horizontal="center" vertical="top"/>
    </xf>
    <xf numFmtId="0" fontId="7" fillId="0" borderId="11" xfId="0" applyFont="1" applyBorder="1" applyAlignment="1">
      <alignment wrapText="1"/>
    </xf>
    <xf numFmtId="0" fontId="3" fillId="6" borderId="11" xfId="0" applyFont="1" applyFill="1" applyBorder="1" applyAlignment="1">
      <alignment wrapText="1"/>
    </xf>
    <xf numFmtId="0" fontId="2" fillId="6" borderId="11" xfId="0" applyFont="1" applyFill="1" applyBorder="1"/>
    <xf numFmtId="0" fontId="5" fillId="0" borderId="11" xfId="0" applyFont="1" applyBorder="1" applyAlignment="1">
      <alignment wrapText="1"/>
    </xf>
    <xf numFmtId="0" fontId="6" fillId="0" borderId="11" xfId="0" applyFont="1" applyBorder="1" applyAlignment="1">
      <alignment vertical="top"/>
    </xf>
    <xf numFmtId="0" fontId="4" fillId="0" borderId="11" xfId="0" applyFont="1" applyBorder="1"/>
    <xf numFmtId="0" fontId="6" fillId="0" borderId="11" xfId="0" applyFont="1" applyBorder="1"/>
    <xf numFmtId="0" fontId="5" fillId="0" borderId="12" xfId="0" applyFont="1" applyBorder="1" applyAlignment="1">
      <alignment wrapText="1"/>
    </xf>
    <xf numFmtId="0" fontId="4" fillId="0" borderId="12" xfId="0" applyFont="1" applyBorder="1"/>
    <xf numFmtId="37" fontId="2" fillId="6" borderId="11" xfId="0" applyNumberFormat="1" applyFont="1" applyFill="1" applyBorder="1"/>
    <xf numFmtId="0" fontId="4" fillId="7" borderId="11" xfId="0" applyFont="1" applyFill="1" applyBorder="1" applyAlignment="1">
      <alignment vertical="top" wrapText="1"/>
    </xf>
    <xf numFmtId="37" fontId="4" fillId="7" borderId="11" xfId="0" applyNumberFormat="1" applyFont="1" applyFill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37" fontId="4" fillId="0" borderId="11" xfId="0" applyNumberFormat="1" applyFont="1" applyBorder="1" applyAlignment="1">
      <alignment vertical="top" wrapText="1"/>
    </xf>
    <xf numFmtId="9" fontId="4" fillId="7" borderId="11" xfId="1" applyFont="1" applyFill="1" applyBorder="1" applyAlignment="1">
      <alignment vertical="top" wrapText="1"/>
    </xf>
    <xf numFmtId="0" fontId="4" fillId="7" borderId="11" xfId="1" applyNumberFormat="1" applyFont="1" applyFill="1" applyBorder="1" applyAlignment="1">
      <alignment vertical="top" wrapText="1"/>
    </xf>
    <xf numFmtId="165" fontId="9" fillId="0" borderId="7" xfId="0" applyNumberFormat="1" applyFont="1" applyBorder="1" applyAlignment="1">
      <alignment wrapText="1"/>
    </xf>
    <xf numFmtId="9" fontId="7" fillId="0" borderId="11" xfId="0" applyNumberFormat="1" applyFont="1" applyBorder="1"/>
    <xf numFmtId="37" fontId="9" fillId="0" borderId="5" xfId="0" applyNumberFormat="1" applyFont="1" applyBorder="1" applyAlignment="1">
      <alignment vertical="top"/>
    </xf>
    <xf numFmtId="37" fontId="9" fillId="0" borderId="5" xfId="0" applyNumberFormat="1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7" fillId="0" borderId="11" xfId="0" applyFont="1" applyBorder="1"/>
    <xf numFmtId="0" fontId="7" fillId="8" borderId="11" xfId="0" applyFont="1" applyFill="1" applyBorder="1"/>
    <xf numFmtId="164" fontId="7" fillId="0" borderId="11" xfId="0" applyNumberFormat="1" applyFont="1" applyBorder="1"/>
    <xf numFmtId="0" fontId="7" fillId="0" borderId="14" xfId="0" applyFont="1" applyBorder="1" applyAlignment="1">
      <alignment vertical="top"/>
    </xf>
    <xf numFmtId="0" fontId="11" fillId="0" borderId="14" xfId="0" applyFont="1" applyBorder="1" applyAlignment="1">
      <alignment vertical="top"/>
    </xf>
    <xf numFmtId="0" fontId="7" fillId="0" borderId="14" xfId="0" applyFont="1" applyBorder="1" applyAlignment="1">
      <alignment vertical="top" wrapText="1"/>
    </xf>
    <xf numFmtId="0" fontId="7" fillId="0" borderId="14" xfId="0" applyFont="1" applyBorder="1"/>
    <xf numFmtId="0" fontId="7" fillId="0" borderId="14" xfId="0" applyFont="1" applyBorder="1" applyAlignment="1">
      <alignment wrapText="1"/>
    </xf>
    <xf numFmtId="0" fontId="7" fillId="0" borderId="15" xfId="0" applyFont="1" applyBorder="1" applyAlignment="1">
      <alignment vertical="top"/>
    </xf>
    <xf numFmtId="2" fontId="7" fillId="0" borderId="14" xfId="0" applyNumberFormat="1" applyFont="1" applyBorder="1" applyAlignment="1">
      <alignment vertical="top"/>
    </xf>
    <xf numFmtId="9" fontId="7" fillId="0" borderId="14" xfId="0" applyNumberFormat="1" applyFont="1" applyBorder="1"/>
    <xf numFmtId="0" fontId="11" fillId="0" borderId="0" xfId="0" applyFont="1"/>
    <xf numFmtId="0" fontId="11" fillId="0" borderId="14" xfId="0" applyFont="1" applyBorder="1"/>
    <xf numFmtId="0" fontId="8" fillId="0" borderId="0" xfId="0" applyFont="1" applyAlignment="1">
      <alignment horizontal="center" vertical="center" wrapText="1"/>
    </xf>
    <xf numFmtId="37" fontId="9" fillId="0" borderId="0" xfId="0" applyNumberFormat="1" applyFont="1" applyAlignment="1">
      <alignment vertical="top" wrapText="1"/>
    </xf>
    <xf numFmtId="37" fontId="9" fillId="0" borderId="0" xfId="0" applyNumberFormat="1" applyFont="1" applyAlignment="1">
      <alignment vertical="top"/>
    </xf>
    <xf numFmtId="164" fontId="9" fillId="6" borderId="5" xfId="0" applyNumberFormat="1" applyFont="1" applyFill="1" applyBorder="1"/>
    <xf numFmtId="9" fontId="9" fillId="0" borderId="5" xfId="1" applyFont="1" applyFill="1" applyBorder="1" applyAlignment="1">
      <alignment vertical="top"/>
    </xf>
    <xf numFmtId="9" fontId="9" fillId="0" borderId="0" xfId="1" applyFont="1" applyFill="1" applyBorder="1" applyAlignment="1">
      <alignment vertical="top"/>
    </xf>
    <xf numFmtId="0" fontId="18" fillId="0" borderId="0" xfId="0" applyFont="1"/>
    <xf numFmtId="164" fontId="9" fillId="0" borderId="5" xfId="0" applyNumberFormat="1" applyFont="1" applyBorder="1" applyAlignment="1">
      <alignment vertical="top" wrapText="1"/>
    </xf>
    <xf numFmtId="37" fontId="11" fillId="0" borderId="5" xfId="0" applyNumberFormat="1" applyFont="1" applyBorder="1" applyAlignment="1">
      <alignment horizontal="center" vertical="center" wrapText="1"/>
    </xf>
    <xf numFmtId="9" fontId="7" fillId="0" borderId="11" xfId="1" applyFont="1" applyBorder="1"/>
    <xf numFmtId="0" fontId="15" fillId="3" borderId="16" xfId="0" applyFont="1" applyFill="1" applyBorder="1" applyAlignment="1">
      <alignment wrapText="1"/>
    </xf>
    <xf numFmtId="0" fontId="15" fillId="3" borderId="17" xfId="0" applyFont="1" applyFill="1" applyBorder="1" applyAlignment="1">
      <alignment wrapText="1"/>
    </xf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9" fontId="4" fillId="7" borderId="11" xfId="0" applyNumberFormat="1" applyFont="1" applyFill="1" applyBorder="1" applyAlignment="1">
      <alignment vertical="top" wrapText="1"/>
    </xf>
    <xf numFmtId="9" fontId="7" fillId="0" borderId="0" xfId="0" applyNumberFormat="1" applyFont="1" applyAlignment="1">
      <alignment horizontal="center"/>
    </xf>
    <xf numFmtId="10" fontId="9" fillId="0" borderId="5" xfId="1" applyNumberFormat="1" applyFont="1" applyFill="1" applyBorder="1" applyAlignment="1">
      <alignment vertical="top"/>
    </xf>
    <xf numFmtId="0" fontId="11" fillId="6" borderId="3" xfId="0" applyFont="1" applyFill="1" applyBorder="1" applyAlignment="1">
      <alignment horizontal="center"/>
    </xf>
    <xf numFmtId="10" fontId="7" fillId="0" borderId="6" xfId="0" applyNumberFormat="1" applyFont="1" applyBorder="1" applyAlignment="1">
      <alignment horizontal="center"/>
    </xf>
    <xf numFmtId="37" fontId="15" fillId="3" borderId="16" xfId="0" applyNumberFormat="1" applyFont="1" applyFill="1" applyBorder="1" applyAlignment="1">
      <alignment wrapText="1"/>
    </xf>
    <xf numFmtId="10" fontId="9" fillId="0" borderId="7" xfId="1" applyNumberFormat="1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8" fillId="0" borderId="2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top" wrapText="1"/>
    </xf>
    <xf numFmtId="2" fontId="7" fillId="0" borderId="0" xfId="0" applyNumberFormat="1" applyFont="1"/>
    <xf numFmtId="167" fontId="7" fillId="0" borderId="11" xfId="0" applyNumberFormat="1" applyFont="1" applyBorder="1"/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8" borderId="0" xfId="0" applyFont="1" applyFill="1" applyAlignment="1">
      <alignment horizontal="center" vertical="top"/>
    </xf>
    <xf numFmtId="0" fontId="11" fillId="5" borderId="2" xfId="0" applyFont="1" applyFill="1" applyBorder="1" applyAlignment="1">
      <alignment horizontal="center" vertical="center"/>
    </xf>
    <xf numFmtId="0" fontId="13" fillId="6" borderId="3" xfId="0" applyFont="1" applyFill="1" applyBorder="1"/>
    <xf numFmtId="0" fontId="13" fillId="6" borderId="4" xfId="0" applyFont="1" applyFill="1" applyBorder="1"/>
    <xf numFmtId="37" fontId="11" fillId="0" borderId="7" xfId="0" applyNumberFormat="1" applyFont="1" applyBorder="1" applyAlignment="1">
      <alignment horizontal="center" vertical="center" wrapText="1"/>
    </xf>
    <xf numFmtId="0" fontId="16" fillId="0" borderId="8" xfId="2" applyBorder="1" applyAlignment="1">
      <alignment horizontal="left" vertical="top" wrapText="1"/>
    </xf>
    <xf numFmtId="0" fontId="8" fillId="9" borderId="8" xfId="0" applyFont="1" applyFill="1" applyBorder="1" applyAlignment="1">
      <alignment horizontal="left" vertical="top" wrapText="1"/>
    </xf>
    <xf numFmtId="0" fontId="8" fillId="10" borderId="8" xfId="0" applyFont="1" applyFill="1" applyBorder="1" applyAlignment="1">
      <alignment horizontal="left" vertical="top" wrapText="1"/>
    </xf>
    <xf numFmtId="0" fontId="8" fillId="11" borderId="8" xfId="0" applyFont="1" applyFill="1" applyBorder="1" applyAlignment="1">
      <alignment horizontal="left" vertical="top" wrapText="1"/>
    </xf>
    <xf numFmtId="164" fontId="9" fillId="6" borderId="7" xfId="0" applyNumberFormat="1" applyFont="1" applyFill="1" applyBorder="1"/>
    <xf numFmtId="0" fontId="16" fillId="0" borderId="18" xfId="2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21" xfId="0" applyFont="1" applyBorder="1" applyAlignment="1">
      <alignment horizontal="center" vertical="top" wrapText="1"/>
    </xf>
    <xf numFmtId="0" fontId="8" fillId="10" borderId="22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37" fontId="9" fillId="0" borderId="23" xfId="0" applyNumberFormat="1" applyFont="1" applyBorder="1" applyAlignment="1">
      <alignment vertical="top"/>
    </xf>
    <xf numFmtId="0" fontId="7" fillId="0" borderId="0" xfId="0" applyFont="1" applyBorder="1"/>
    <xf numFmtId="0" fontId="8" fillId="9" borderId="22" xfId="0" applyFont="1" applyFill="1" applyBorder="1" applyAlignment="1">
      <alignment horizontal="center" vertical="top" wrapText="1"/>
    </xf>
    <xf numFmtId="0" fontId="8" fillId="11" borderId="22" xfId="0" applyFont="1" applyFill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37" fontId="9" fillId="7" borderId="25" xfId="0" applyNumberFormat="1" applyFont="1" applyFill="1" applyBorder="1" applyAlignment="1">
      <alignment vertical="top" wrapText="1"/>
    </xf>
    <xf numFmtId="37" fontId="9" fillId="7" borderId="25" xfId="0" applyNumberFormat="1" applyFont="1" applyFill="1" applyBorder="1" applyAlignment="1">
      <alignment vertical="top"/>
    </xf>
    <xf numFmtId="9" fontId="9" fillId="7" borderId="25" xfId="1" applyFont="1" applyFill="1" applyBorder="1" applyAlignment="1">
      <alignment vertical="top"/>
    </xf>
    <xf numFmtId="37" fontId="9" fillId="7" borderId="26" xfId="0" applyNumberFormat="1" applyFont="1" applyFill="1" applyBorder="1" applyAlignment="1">
      <alignment vertical="top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top" wrapText="1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9" defaultPivotStyle="PivotStyleMedium4"/>
  <colors>
    <mruColors>
      <color rgb="FFF34BEA"/>
      <color rgb="FF965EEB"/>
      <color rgb="FF00E162"/>
      <color rgb="FF05AAFF"/>
      <color rgb="FFFF3F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C3-FF4B-AB13-F6A241F4E11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FC3-FF4B-AB13-F6A241F4E11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FC3-FF4B-AB13-F6A241F4E11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FC3-FF4B-AB13-F6A241F4E11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FC3-FF4B-AB13-F6A241F4E11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FC3-FF4B-AB13-F6A241F4E11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FC3-FF4B-AB13-F6A241F4E11A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FC3-FF4B-AB13-F6A241F4E11A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FC3-FF4B-AB13-F6A241F4E11A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FC3-FF4B-AB13-F6A241F4E11A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FC3-FF4B-AB13-F6A241F4E11A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FC3-FF4B-AB13-F6A241F4E11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FC3-FF4B-AB13-F6A241F4E11A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FC3-FF4B-AB13-F6A241F4E11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FC3-FF4B-AB13-F6A241F4E11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FC3-FF4B-AB13-F6A241F4E11A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FC3-FF4B-AB13-F6A241F4E11A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FC3-FF4B-AB13-F6A241F4E11A}"/>
              </c:ext>
            </c:extLst>
          </c:dPt>
          <c:cat>
            <c:numRef>
              <c:f>'Cash Flow'!$B$28:$AC$28</c:f>
              <c:numCache>
                <c:formatCode>mmm\-yy</c:formatCode>
                <c:ptCount val="2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</c:numCache>
            </c:numRef>
          </c:cat>
          <c:val>
            <c:numRef>
              <c:f>'Cash Flow'!$B$44:$AC$44</c:f>
              <c:numCache>
                <c:formatCode>#\ ##0_);\(#\ ##0\)</c:formatCode>
                <c:ptCount val="28"/>
                <c:pt idx="0">
                  <c:v>-16245000</c:v>
                </c:pt>
                <c:pt idx="1">
                  <c:v>-7245000</c:v>
                </c:pt>
                <c:pt idx="2">
                  <c:v>-7245000</c:v>
                </c:pt>
                <c:pt idx="3">
                  <c:v>-9754500</c:v>
                </c:pt>
                <c:pt idx="4">
                  <c:v>7154088.7010432193</c:v>
                </c:pt>
                <c:pt idx="5">
                  <c:v>7349880.9810753847</c:v>
                </c:pt>
                <c:pt idx="6">
                  <c:v>7543962.8293916686</c:v>
                </c:pt>
                <c:pt idx="7">
                  <c:v>7736357.8759658467</c:v>
                </c:pt>
                <c:pt idx="8">
                  <c:v>7927089.4577685148</c:v>
                </c:pt>
                <c:pt idx="9">
                  <c:v>8277934.2118021138</c:v>
                </c:pt>
                <c:pt idx="10">
                  <c:v>8303654.1321663531</c:v>
                </c:pt>
                <c:pt idx="11">
                  <c:v>8489532.4668841846</c:v>
                </c:pt>
                <c:pt idx="12">
                  <c:v>8673837.828272989</c:v>
                </c:pt>
                <c:pt idx="13">
                  <c:v>8856592.1430774461</c:v>
                </c:pt>
                <c:pt idx="14">
                  <c:v>9037817.0666351747</c:v>
                </c:pt>
                <c:pt idx="15">
                  <c:v>9217533.9863187894</c:v>
                </c:pt>
                <c:pt idx="16">
                  <c:v>237929.02422656654</c:v>
                </c:pt>
                <c:pt idx="17">
                  <c:v>9463132.0721458104</c:v>
                </c:pt>
                <c:pt idx="18">
                  <c:v>9628538.8927789703</c:v>
                </c:pt>
                <c:pt idx="19">
                  <c:v>9792261.385981014</c:v>
                </c:pt>
                <c:pt idx="20">
                  <c:v>9954323.1782199051</c:v>
                </c:pt>
                <c:pt idx="21">
                  <c:v>10114747.580278261</c:v>
                </c:pt>
                <c:pt idx="22">
                  <c:v>10273557.59149914</c:v>
                </c:pt>
                <c:pt idx="23">
                  <c:v>10430775.903974732</c:v>
                </c:pt>
                <c:pt idx="24">
                  <c:v>10586424.906678816</c:v>
                </c:pt>
                <c:pt idx="25">
                  <c:v>10740526.689543653</c:v>
                </c:pt>
                <c:pt idx="26">
                  <c:v>10893103.047482111</c:v>
                </c:pt>
                <c:pt idx="27">
                  <c:v>11044175.484355737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3-FF4B-AB13-F6A241F4E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395648"/>
        <c:axId val="67639736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34BEA"/>
              </a:solidFill>
              <a:round/>
            </a:ln>
            <a:effectLst/>
          </c:spPr>
          <c:marker>
            <c:symbol val="none"/>
          </c:marker>
          <c:val>
            <c:numRef>
              <c:f>'Cash Flow'!$B$44:$AC$44</c:f>
              <c:numCache>
                <c:formatCode>#\ ##0_);\(#\ ##0\)</c:formatCode>
                <c:ptCount val="28"/>
                <c:pt idx="0">
                  <c:v>-16245000</c:v>
                </c:pt>
                <c:pt idx="1">
                  <c:v>-7245000</c:v>
                </c:pt>
                <c:pt idx="2">
                  <c:v>-7245000</c:v>
                </c:pt>
                <c:pt idx="3">
                  <c:v>-9754500</c:v>
                </c:pt>
                <c:pt idx="4">
                  <c:v>7154088.7010432193</c:v>
                </c:pt>
                <c:pt idx="5">
                  <c:v>7349880.9810753847</c:v>
                </c:pt>
                <c:pt idx="6">
                  <c:v>7543962.8293916686</c:v>
                </c:pt>
                <c:pt idx="7">
                  <c:v>7736357.8759658467</c:v>
                </c:pt>
                <c:pt idx="8">
                  <c:v>7927089.4577685148</c:v>
                </c:pt>
                <c:pt idx="9">
                  <c:v>8277934.2118021138</c:v>
                </c:pt>
                <c:pt idx="10">
                  <c:v>8303654.1321663531</c:v>
                </c:pt>
                <c:pt idx="11">
                  <c:v>8489532.4668841846</c:v>
                </c:pt>
                <c:pt idx="12">
                  <c:v>8673837.828272989</c:v>
                </c:pt>
                <c:pt idx="13">
                  <c:v>8856592.1430774461</c:v>
                </c:pt>
                <c:pt idx="14">
                  <c:v>9037817.0666351747</c:v>
                </c:pt>
                <c:pt idx="15">
                  <c:v>9217533.9863187894</c:v>
                </c:pt>
                <c:pt idx="16">
                  <c:v>237929.02422656654</c:v>
                </c:pt>
                <c:pt idx="17">
                  <c:v>9463132.0721458104</c:v>
                </c:pt>
                <c:pt idx="18">
                  <c:v>9628538.8927789703</c:v>
                </c:pt>
                <c:pt idx="19">
                  <c:v>9792261.385981014</c:v>
                </c:pt>
                <c:pt idx="20">
                  <c:v>9954323.1782199051</c:v>
                </c:pt>
                <c:pt idx="21">
                  <c:v>10114747.580278261</c:v>
                </c:pt>
                <c:pt idx="22">
                  <c:v>10273557.59149914</c:v>
                </c:pt>
                <c:pt idx="23">
                  <c:v>10430775.903974732</c:v>
                </c:pt>
                <c:pt idx="24">
                  <c:v>10586424.906678816</c:v>
                </c:pt>
                <c:pt idx="25">
                  <c:v>10740526.689543653</c:v>
                </c:pt>
                <c:pt idx="26">
                  <c:v>10893103.047482111</c:v>
                </c:pt>
                <c:pt idx="27">
                  <c:v>11044175.484355737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C3-FF4B-AB13-F6A241F4E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395648"/>
        <c:axId val="676397360"/>
      </c:lineChart>
      <c:dateAx>
        <c:axId val="6763956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397360"/>
        <c:crosses val="autoZero"/>
        <c:auto val="1"/>
        <c:lblOffset val="100"/>
        <c:baseTimeUnit val="months"/>
      </c:dateAx>
      <c:valAx>
        <c:axId val="6763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_);\(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39564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38100</xdr:rowOff>
    </xdr:from>
    <xdr:to>
      <xdr:col>1</xdr:col>
      <xdr:colOff>596900</xdr:colOff>
      <xdr:row>43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3772112-56E1-73CB-4C11-DF9A177C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86600"/>
          <a:ext cx="4025900" cy="1498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127000</xdr:rowOff>
    </xdr:from>
    <xdr:to>
      <xdr:col>1</xdr:col>
      <xdr:colOff>596900</xdr:colOff>
      <xdr:row>50</xdr:row>
      <xdr:rowOff>152400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EFF7684-713F-D0F0-7932-5908B41C7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97900"/>
          <a:ext cx="4025900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622300</xdr:colOff>
      <xdr:row>36</xdr:row>
      <xdr:rowOff>50800</xdr:rowOff>
    </xdr:from>
    <xdr:to>
      <xdr:col>6</xdr:col>
      <xdr:colOff>393700</xdr:colOff>
      <xdr:row>42</xdr:row>
      <xdr:rowOff>139700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3410432-3566-5C6E-1021-AE666CB27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51300" y="7099300"/>
          <a:ext cx="3898900" cy="1308100"/>
        </a:xfrm>
        <a:prstGeom prst="rect">
          <a:avLst/>
        </a:prstGeom>
      </xdr:spPr>
    </xdr:pic>
    <xdr:clientData/>
  </xdr:twoCellAnchor>
  <xdr:twoCellAnchor editAs="oneCell">
    <xdr:from>
      <xdr:col>1</xdr:col>
      <xdr:colOff>596900</xdr:colOff>
      <xdr:row>42</xdr:row>
      <xdr:rowOff>165100</xdr:rowOff>
    </xdr:from>
    <xdr:to>
      <xdr:col>6</xdr:col>
      <xdr:colOff>520700</xdr:colOff>
      <xdr:row>49</xdr:row>
      <xdr:rowOff>139700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58E4742-FDC3-3E85-E98C-F2AF719E4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25900" y="8432800"/>
          <a:ext cx="4051300" cy="1397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342085</xdr:colOff>
      <xdr:row>4</xdr:row>
      <xdr:rowOff>47538</xdr:rowOff>
    </xdr:from>
    <xdr:to>
      <xdr:col>38</xdr:col>
      <xdr:colOff>291285</xdr:colOff>
      <xdr:row>15</xdr:row>
      <xdr:rowOff>285185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97034C1-0671-C3E5-8C4B-92FEA0126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79241" y="641758"/>
          <a:ext cx="4912686" cy="63009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610010</xdr:colOff>
      <xdr:row>11</xdr:row>
      <xdr:rowOff>160575</xdr:rowOff>
    </xdr:from>
    <xdr:to>
      <xdr:col>41</xdr:col>
      <xdr:colOff>603168</xdr:colOff>
      <xdr:row>27</xdr:row>
      <xdr:rowOff>180419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45DE31-E323-540C-7A91-B2B8F1F81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.vkcdn.ru/media/files/VK_IR_Presentation_H1_2025_OwIezHP.pdf" TargetMode="External"/><Relationship Id="rId2" Type="http://schemas.openxmlformats.org/officeDocument/2006/relationships/hyperlink" Target="https://www.tadviser.ru/index.php/&#1057;&#1090;&#1072;&#1090;&#1100;&#1103;:&#1054;&#1085;&#1083;&#1072;&#1081;&#1085;-&#1086;&#1073;&#1088;&#1072;&#1079;&#1086;&#1074;&#1072;&#1085;&#1080;&#1077;_(&#1088;&#1099;&#1085;&#1086;&#1082;_&#1056;&#1086;&#1089;&#1089;&#1080;&#1080;)" TargetMode="External"/><Relationship Id="rId1" Type="http://schemas.openxmlformats.org/officeDocument/2006/relationships/hyperlink" Target="https://cbr.ru/Content/Document/File/184551/forecast_251024.pdf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D208-3F3A-244E-A3EB-9123C4D0C180}">
  <dimension ref="A1:K36"/>
  <sheetViews>
    <sheetView topLeftCell="A7" zoomScale="88" workbookViewId="0">
      <selection activeCell="I18" sqref="I18"/>
    </sheetView>
  </sheetViews>
  <sheetFormatPr baseColWidth="10" defaultRowHeight="16" x14ac:dyDescent="0.2"/>
  <cols>
    <col min="1" max="1" width="45" style="4" bestFit="1" customWidth="1"/>
    <col min="2" max="6" width="10.83203125" style="4"/>
    <col min="7" max="7" width="36.5" style="4" customWidth="1"/>
    <col min="8" max="16384" width="10.83203125" style="4"/>
  </cols>
  <sheetData>
    <row r="1" spans="1:11" x14ac:dyDescent="0.2">
      <c r="A1" s="65"/>
      <c r="B1" s="65">
        <v>2022</v>
      </c>
      <c r="C1" s="65">
        <v>2023</v>
      </c>
      <c r="D1" s="65">
        <v>2024</v>
      </c>
      <c r="G1" s="74" t="s">
        <v>109</v>
      </c>
      <c r="H1" s="65">
        <v>2022</v>
      </c>
      <c r="I1" s="65">
        <v>2023</v>
      </c>
      <c r="J1" s="65">
        <v>2024</v>
      </c>
    </row>
    <row r="2" spans="1:11" ht="17" x14ac:dyDescent="0.2">
      <c r="A2" s="66" t="s">
        <v>75</v>
      </c>
      <c r="B2" s="65"/>
      <c r="C2" s="65"/>
      <c r="D2" s="65"/>
      <c r="G2" s="67" t="s">
        <v>110</v>
      </c>
      <c r="H2" s="68"/>
      <c r="I2" s="68"/>
      <c r="J2" s="68"/>
    </row>
    <row r="3" spans="1:11" ht="34" x14ac:dyDescent="0.2">
      <c r="A3" s="65" t="s">
        <v>76</v>
      </c>
      <c r="B3" s="65"/>
      <c r="C3" s="65"/>
      <c r="D3" s="65">
        <v>77</v>
      </c>
      <c r="G3" s="67" t="s">
        <v>113</v>
      </c>
      <c r="H3" s="68"/>
      <c r="I3" s="68"/>
      <c r="J3" s="68">
        <v>42</v>
      </c>
      <c r="K3" s="4" t="s">
        <v>111</v>
      </c>
    </row>
    <row r="4" spans="1:11" ht="51" x14ac:dyDescent="0.2">
      <c r="A4" s="67" t="s">
        <v>77</v>
      </c>
      <c r="B4" s="65"/>
      <c r="C4" s="65"/>
      <c r="D4" s="65">
        <v>4.4000000000000004</v>
      </c>
      <c r="G4" s="67" t="s">
        <v>112</v>
      </c>
      <c r="H4" s="68"/>
      <c r="I4" s="68"/>
      <c r="J4" s="68">
        <v>2.4</v>
      </c>
    </row>
    <row r="5" spans="1:11" ht="17" x14ac:dyDescent="0.2">
      <c r="A5" s="66" t="s">
        <v>78</v>
      </c>
      <c r="B5" s="65"/>
      <c r="C5" s="65"/>
      <c r="D5" s="65"/>
      <c r="G5" s="67" t="s">
        <v>114</v>
      </c>
      <c r="H5" s="68"/>
      <c r="I5" s="68"/>
      <c r="J5" s="68">
        <v>38</v>
      </c>
    </row>
    <row r="6" spans="1:11" ht="34" x14ac:dyDescent="0.2">
      <c r="A6" s="65" t="s">
        <v>79</v>
      </c>
      <c r="B6" s="65"/>
      <c r="C6" s="65">
        <v>120.3</v>
      </c>
      <c r="D6" s="65">
        <v>148</v>
      </c>
      <c r="G6" s="69" t="s">
        <v>115</v>
      </c>
      <c r="H6" s="68"/>
      <c r="I6" s="68"/>
      <c r="J6" s="68">
        <v>4.5</v>
      </c>
    </row>
    <row r="7" spans="1:11" ht="51" x14ac:dyDescent="0.2">
      <c r="A7" s="65" t="s">
        <v>80</v>
      </c>
      <c r="B7" s="65"/>
      <c r="C7" s="65">
        <v>79.7</v>
      </c>
      <c r="D7" s="65">
        <v>96</v>
      </c>
      <c r="G7" s="69" t="s">
        <v>116</v>
      </c>
      <c r="H7" s="68"/>
      <c r="I7" s="68"/>
      <c r="J7" s="68">
        <v>216</v>
      </c>
    </row>
    <row r="8" spans="1:11" ht="17" x14ac:dyDescent="0.2">
      <c r="A8" s="68" t="s">
        <v>105</v>
      </c>
      <c r="B8" s="65"/>
      <c r="C8" s="65">
        <v>19.3</v>
      </c>
      <c r="D8" s="68">
        <v>22.3</v>
      </c>
      <c r="G8" s="67" t="s">
        <v>117</v>
      </c>
      <c r="H8" s="68"/>
      <c r="I8" s="68"/>
      <c r="J8" s="68">
        <v>60</v>
      </c>
    </row>
    <row r="9" spans="1:11" ht="34" x14ac:dyDescent="0.2">
      <c r="A9" s="68" t="s">
        <v>106</v>
      </c>
      <c r="B9" s="65">
        <v>11</v>
      </c>
      <c r="C9" s="65">
        <v>3.4</v>
      </c>
      <c r="D9" s="68">
        <v>6.3</v>
      </c>
      <c r="G9" s="67" t="s">
        <v>118</v>
      </c>
      <c r="H9" s="68"/>
      <c r="I9" s="68"/>
      <c r="J9" s="68">
        <v>3</v>
      </c>
    </row>
    <row r="10" spans="1:11" ht="17" x14ac:dyDescent="0.2">
      <c r="A10" s="68" t="s">
        <v>107</v>
      </c>
      <c r="B10" s="65"/>
      <c r="C10" s="65">
        <v>9.6</v>
      </c>
      <c r="D10" s="65">
        <v>13.6</v>
      </c>
      <c r="G10" s="67" t="s">
        <v>119</v>
      </c>
      <c r="H10" s="68"/>
      <c r="I10" s="68"/>
      <c r="J10" s="68">
        <v>300</v>
      </c>
    </row>
    <row r="11" spans="1:11" x14ac:dyDescent="0.2">
      <c r="A11" s="68" t="s">
        <v>108</v>
      </c>
      <c r="B11" s="65"/>
      <c r="C11" s="65">
        <v>8.3000000000000007</v>
      </c>
      <c r="D11" s="68">
        <v>9.4</v>
      </c>
    </row>
    <row r="12" spans="1:11" x14ac:dyDescent="0.2">
      <c r="A12" s="70"/>
      <c r="B12" s="70"/>
      <c r="C12" s="70"/>
      <c r="D12" s="70"/>
    </row>
    <row r="13" spans="1:11" x14ac:dyDescent="0.2">
      <c r="A13" s="65" t="s">
        <v>81</v>
      </c>
      <c r="B13" s="65"/>
      <c r="C13" s="65"/>
      <c r="D13" s="65"/>
    </row>
    <row r="14" spans="1:11" x14ac:dyDescent="0.2">
      <c r="A14" s="65" t="s">
        <v>82</v>
      </c>
      <c r="B14" s="65"/>
      <c r="C14" s="65"/>
      <c r="D14" s="65">
        <v>13</v>
      </c>
    </row>
    <row r="15" spans="1:11" x14ac:dyDescent="0.2">
      <c r="A15" s="65" t="s">
        <v>83</v>
      </c>
      <c r="B15" s="65"/>
      <c r="C15" s="65"/>
      <c r="D15" s="65">
        <v>15</v>
      </c>
    </row>
    <row r="16" spans="1:11" x14ac:dyDescent="0.2">
      <c r="A16" s="65" t="s">
        <v>84</v>
      </c>
      <c r="B16" s="65"/>
      <c r="C16" s="65"/>
      <c r="D16" s="65">
        <v>9</v>
      </c>
    </row>
    <row r="17" spans="1:4" x14ac:dyDescent="0.2">
      <c r="A17" s="65" t="s">
        <v>104</v>
      </c>
      <c r="B17" s="65"/>
      <c r="C17" s="65"/>
      <c r="D17" s="71">
        <f>2/3</f>
        <v>0.66666666666666663</v>
      </c>
    </row>
    <row r="21" spans="1:4" x14ac:dyDescent="0.2">
      <c r="A21" s="68" t="s">
        <v>85</v>
      </c>
      <c r="B21" s="68"/>
      <c r="C21" s="68"/>
      <c r="D21" s="68">
        <v>103.1</v>
      </c>
    </row>
    <row r="22" spans="1:4" x14ac:dyDescent="0.2">
      <c r="A22" s="68" t="s">
        <v>86</v>
      </c>
      <c r="B22" s="68"/>
      <c r="C22" s="68"/>
      <c r="D22" s="72">
        <v>0.85</v>
      </c>
    </row>
    <row r="23" spans="1:4" x14ac:dyDescent="0.2">
      <c r="A23" s="73" t="s">
        <v>120</v>
      </c>
    </row>
    <row r="24" spans="1:4" x14ac:dyDescent="0.2">
      <c r="A24" s="68" t="s">
        <v>87</v>
      </c>
      <c r="B24" s="68"/>
      <c r="C24" s="68"/>
      <c r="D24" s="68"/>
    </row>
    <row r="25" spans="1:4" x14ac:dyDescent="0.2">
      <c r="A25" s="68" t="s">
        <v>91</v>
      </c>
      <c r="B25" s="68"/>
      <c r="C25" s="68"/>
      <c r="D25" s="68" t="s">
        <v>93</v>
      </c>
    </row>
    <row r="26" spans="1:4" ht="34" x14ac:dyDescent="0.2">
      <c r="A26" s="69" t="s">
        <v>92</v>
      </c>
      <c r="B26" s="68"/>
      <c r="C26" s="68"/>
      <c r="D26" s="68" t="s">
        <v>94</v>
      </c>
    </row>
    <row r="27" spans="1:4" x14ac:dyDescent="0.2">
      <c r="A27" s="68" t="s">
        <v>88</v>
      </c>
      <c r="B27" s="68"/>
      <c r="C27" s="68"/>
      <c r="D27" s="68"/>
    </row>
    <row r="28" spans="1:4" x14ac:dyDescent="0.2">
      <c r="A28" s="68" t="s">
        <v>89</v>
      </c>
      <c r="B28" s="68"/>
      <c r="C28" s="68"/>
      <c r="D28" s="68" t="s">
        <v>95</v>
      </c>
    </row>
    <row r="29" spans="1:4" x14ac:dyDescent="0.2">
      <c r="A29" s="68" t="s">
        <v>90</v>
      </c>
      <c r="B29" s="68"/>
      <c r="C29" s="68"/>
      <c r="D29" s="68" t="s">
        <v>96</v>
      </c>
    </row>
    <row r="30" spans="1:4" x14ac:dyDescent="0.2">
      <c r="A30" s="68" t="s">
        <v>97</v>
      </c>
      <c r="B30" s="68"/>
      <c r="C30" s="68"/>
      <c r="D30" s="68"/>
    </row>
    <row r="31" spans="1:4" x14ac:dyDescent="0.2">
      <c r="A31" s="68" t="s">
        <v>98</v>
      </c>
      <c r="B31" s="68"/>
      <c r="C31" s="68"/>
      <c r="D31" s="68" t="s">
        <v>99</v>
      </c>
    </row>
    <row r="32" spans="1:4" x14ac:dyDescent="0.2">
      <c r="A32" s="68" t="s">
        <v>100</v>
      </c>
      <c r="B32" s="68"/>
      <c r="C32" s="68"/>
      <c r="D32" s="68"/>
    </row>
    <row r="33" spans="1:4" x14ac:dyDescent="0.2">
      <c r="A33" s="68" t="s">
        <v>101</v>
      </c>
      <c r="B33" s="68"/>
      <c r="C33" s="68"/>
      <c r="D33" s="68" t="s">
        <v>102</v>
      </c>
    </row>
    <row r="36" spans="1:4" x14ac:dyDescent="0.2">
      <c r="A36" s="4" t="s">
        <v>103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003C-175A-A449-BE43-8F727C00CD0C}">
  <dimension ref="A1:M27"/>
  <sheetViews>
    <sheetView topLeftCell="A6" workbookViewId="0">
      <selection activeCell="F11" sqref="F11"/>
    </sheetView>
  </sheetViews>
  <sheetFormatPr baseColWidth="10" defaultRowHeight="16" x14ac:dyDescent="0.2"/>
  <cols>
    <col min="1" max="1" width="3.1640625" style="4" bestFit="1" customWidth="1"/>
    <col min="2" max="2" width="19.1640625" style="4" bestFit="1" customWidth="1"/>
    <col min="3" max="6" width="18.33203125" style="4" customWidth="1"/>
    <col min="7" max="7" width="15.33203125" style="4" bestFit="1" customWidth="1"/>
    <col min="8" max="8" width="26.83203125" style="4" customWidth="1"/>
    <col min="9" max="9" width="23.5" style="4" customWidth="1"/>
    <col min="10" max="10" width="30.1640625" style="4" customWidth="1"/>
    <col min="11" max="11" width="22.83203125" style="4" customWidth="1"/>
    <col min="12" max="12" width="26.5" style="4" customWidth="1"/>
    <col min="13" max="13" width="32.5" style="4" customWidth="1"/>
    <col min="14" max="16384" width="10.83203125" style="4"/>
  </cols>
  <sheetData>
    <row r="1" spans="1:13" ht="144" x14ac:dyDescent="0.2">
      <c r="A1" s="4" t="s">
        <v>171</v>
      </c>
      <c r="B1" s="111" t="s">
        <v>144</v>
      </c>
      <c r="C1" s="111" t="s">
        <v>147</v>
      </c>
      <c r="E1" s="110" t="s">
        <v>122</v>
      </c>
      <c r="F1" s="110" t="s">
        <v>161</v>
      </c>
      <c r="H1" s="112" t="s">
        <v>165</v>
      </c>
      <c r="I1" s="112" t="s">
        <v>168</v>
      </c>
      <c r="J1" s="112" t="s">
        <v>170</v>
      </c>
      <c r="M1" s="15"/>
    </row>
    <row r="2" spans="1:13" x14ac:dyDescent="0.2">
      <c r="B2" s="78">
        <v>50</v>
      </c>
      <c r="C2" s="78">
        <v>20</v>
      </c>
      <c r="E2" s="113">
        <v>76400000</v>
      </c>
      <c r="F2" s="113">
        <v>7383333.3333333302</v>
      </c>
      <c r="H2" s="78">
        <v>7000000</v>
      </c>
      <c r="I2" s="78">
        <v>2300000</v>
      </c>
      <c r="J2" s="78">
        <f>30*500</f>
        <v>15000</v>
      </c>
      <c r="M2" s="82"/>
    </row>
    <row r="3" spans="1:13" ht="85" x14ac:dyDescent="0.2">
      <c r="B3" s="79" t="s">
        <v>173</v>
      </c>
      <c r="C3" s="79" t="s">
        <v>174</v>
      </c>
      <c r="E3" s="114" t="s">
        <v>175</v>
      </c>
      <c r="F3" s="115"/>
      <c r="H3" s="109" t="s">
        <v>166</v>
      </c>
      <c r="I3" s="109" t="s">
        <v>167</v>
      </c>
      <c r="J3" s="109" t="s">
        <v>169</v>
      </c>
    </row>
    <row r="4" spans="1:13" ht="20" x14ac:dyDescent="0.2">
      <c r="B4" s="6"/>
      <c r="C4" s="7"/>
      <c r="D4" s="7"/>
      <c r="E4" s="7"/>
      <c r="F4" s="81"/>
    </row>
    <row r="5" spans="1:13" ht="64" x14ac:dyDescent="0.2">
      <c r="A5" s="73"/>
      <c r="B5" s="116" t="s">
        <v>172</v>
      </c>
      <c r="C5" s="117" t="s">
        <v>17</v>
      </c>
      <c r="D5" s="117" t="s">
        <v>150</v>
      </c>
      <c r="E5" s="117" t="s">
        <v>68</v>
      </c>
      <c r="F5" s="117" t="s">
        <v>61</v>
      </c>
      <c r="G5" s="118" t="s">
        <v>7</v>
      </c>
    </row>
    <row r="6" spans="1:13" ht="32" x14ac:dyDescent="0.2">
      <c r="A6" s="73">
        <v>1</v>
      </c>
      <c r="B6" s="119" t="s">
        <v>146</v>
      </c>
      <c r="C6" s="9"/>
      <c r="D6" s="58">
        <v>500000</v>
      </c>
      <c r="E6" s="120"/>
      <c r="F6" s="79" t="s">
        <v>145</v>
      </c>
      <c r="G6" s="121">
        <f>D6*C2</f>
        <v>10000000</v>
      </c>
      <c r="J6" s="130"/>
      <c r="K6" s="131"/>
      <c r="L6" s="131"/>
      <c r="M6" s="131"/>
    </row>
    <row r="7" spans="1:13" ht="32" x14ac:dyDescent="0.2">
      <c r="A7" s="73"/>
      <c r="B7" s="119" t="s">
        <v>143</v>
      </c>
      <c r="C7" s="9"/>
      <c r="D7" s="58">
        <v>900000</v>
      </c>
      <c r="E7" s="122"/>
      <c r="F7" s="79" t="s">
        <v>145</v>
      </c>
      <c r="G7" s="121">
        <f>D7*B2</f>
        <v>45000000</v>
      </c>
      <c r="I7" s="9" t="s">
        <v>157</v>
      </c>
      <c r="J7" s="96" t="s">
        <v>158</v>
      </c>
      <c r="K7" s="96" t="s">
        <v>159</v>
      </c>
      <c r="L7" s="96" t="s">
        <v>160</v>
      </c>
      <c r="M7" s="131"/>
    </row>
    <row r="8" spans="1:13" ht="160" x14ac:dyDescent="0.2">
      <c r="A8" s="73">
        <v>2</v>
      </c>
      <c r="B8" s="123" t="s">
        <v>148</v>
      </c>
      <c r="C8" s="59" t="s">
        <v>74</v>
      </c>
      <c r="D8" s="58">
        <v>150</v>
      </c>
      <c r="E8" s="58">
        <f>F2/1000*1.8</f>
        <v>13289.999999999995</v>
      </c>
      <c r="F8" s="79" t="s">
        <v>127</v>
      </c>
      <c r="G8" s="121">
        <f>E8*D8</f>
        <v>1993499.9999999991</v>
      </c>
      <c r="I8" s="61" t="s">
        <v>176</v>
      </c>
      <c r="J8" s="60" t="s">
        <v>180</v>
      </c>
      <c r="K8" s="60" t="s">
        <v>179</v>
      </c>
      <c r="L8" s="60" t="s">
        <v>181</v>
      </c>
      <c r="M8" s="131"/>
    </row>
    <row r="9" spans="1:13" x14ac:dyDescent="0.2">
      <c r="A9" s="73"/>
      <c r="B9" s="123" t="s">
        <v>128</v>
      </c>
      <c r="C9" s="59"/>
      <c r="D9" s="58">
        <v>40</v>
      </c>
      <c r="E9" s="58">
        <f>F2/1000*1.8</f>
        <v>13289.999999999995</v>
      </c>
      <c r="F9" s="79">
        <v>0.2</v>
      </c>
      <c r="G9" s="121">
        <f>E9*F9*D9</f>
        <v>106319.99999999997</v>
      </c>
      <c r="J9" s="122"/>
      <c r="K9" s="122"/>
      <c r="L9" s="122"/>
      <c r="M9" s="122"/>
    </row>
    <row r="10" spans="1:13" ht="32" x14ac:dyDescent="0.2">
      <c r="A10" s="73">
        <v>3</v>
      </c>
      <c r="B10" s="124" t="s">
        <v>164</v>
      </c>
      <c r="C10" s="59"/>
      <c r="D10" s="4">
        <f>I2/4</f>
        <v>575000</v>
      </c>
      <c r="E10" s="58">
        <f>J2</f>
        <v>15000</v>
      </c>
      <c r="F10" s="79">
        <v>0.1</v>
      </c>
      <c r="G10" s="121">
        <f>E10*F10*D10</f>
        <v>862500000</v>
      </c>
      <c r="J10" s="122"/>
      <c r="K10" s="122"/>
      <c r="L10" s="122"/>
      <c r="M10" s="122"/>
    </row>
    <row r="11" spans="1:13" ht="48" x14ac:dyDescent="0.2">
      <c r="B11" s="125" t="s">
        <v>121</v>
      </c>
      <c r="C11" s="126" t="s">
        <v>149</v>
      </c>
      <c r="D11" s="127">
        <v>99</v>
      </c>
      <c r="E11" s="127"/>
      <c r="F11" s="128"/>
      <c r="G11" s="129">
        <f>D11*E11</f>
        <v>0</v>
      </c>
      <c r="J11" s="122"/>
      <c r="K11" s="122"/>
      <c r="L11" s="122"/>
      <c r="M11" s="122"/>
    </row>
    <row r="12" spans="1:13" x14ac:dyDescent="0.2">
      <c r="B12" s="75"/>
      <c r="C12" s="76"/>
      <c r="D12" s="77"/>
      <c r="E12" s="77"/>
      <c r="F12" s="80"/>
      <c r="G12" s="77"/>
    </row>
    <row r="13" spans="1:13" x14ac:dyDescent="0.2">
      <c r="B13" s="9" t="s">
        <v>152</v>
      </c>
      <c r="C13" s="9" t="s">
        <v>151</v>
      </c>
      <c r="D13" s="77"/>
      <c r="F13" s="80"/>
      <c r="G13" s="77"/>
    </row>
    <row r="14" spans="1:13" x14ac:dyDescent="0.2">
      <c r="B14" s="9" t="s">
        <v>153</v>
      </c>
      <c r="C14" s="79">
        <v>0.3</v>
      </c>
      <c r="D14" s="77"/>
      <c r="E14" s="77"/>
      <c r="F14" s="80"/>
      <c r="G14" s="77"/>
    </row>
    <row r="15" spans="1:13" ht="32" x14ac:dyDescent="0.2">
      <c r="B15" s="9" t="s">
        <v>154</v>
      </c>
      <c r="C15" s="79">
        <v>0.05</v>
      </c>
      <c r="D15" s="77"/>
      <c r="E15" s="77"/>
      <c r="F15" s="80"/>
      <c r="G15" s="77"/>
    </row>
    <row r="16" spans="1:13" ht="32" x14ac:dyDescent="0.2">
      <c r="B16" s="9" t="s">
        <v>155</v>
      </c>
      <c r="C16" s="79">
        <v>0.3</v>
      </c>
      <c r="D16" s="77"/>
      <c r="E16" s="77"/>
      <c r="F16" s="80"/>
      <c r="G16" s="77"/>
    </row>
    <row r="17" spans="2:8" x14ac:dyDescent="0.2">
      <c r="B17" s="9" t="s">
        <v>156</v>
      </c>
      <c r="C17" s="79">
        <v>0.04</v>
      </c>
      <c r="D17" s="77"/>
      <c r="E17" s="77"/>
      <c r="F17" s="80"/>
      <c r="G17" s="77"/>
    </row>
    <row r="18" spans="2:8" ht="32" x14ac:dyDescent="0.2">
      <c r="B18" s="9" t="s">
        <v>178</v>
      </c>
      <c r="C18" s="92">
        <f>C14*(1+(C15+C16+C17)/12)</f>
        <v>0.30974999999999997</v>
      </c>
      <c r="D18" s="77"/>
      <c r="E18" s="77"/>
      <c r="F18" s="80"/>
      <c r="G18" s="77"/>
    </row>
    <row r="20" spans="2:8" ht="19" x14ac:dyDescent="0.2">
      <c r="B20" s="104" t="s">
        <v>19</v>
      </c>
      <c r="C20" s="104"/>
      <c r="D20" s="104"/>
      <c r="E20" s="104"/>
      <c r="F20" s="97"/>
    </row>
    <row r="21" spans="2:8" x14ac:dyDescent="0.2">
      <c r="B21" s="10"/>
      <c r="C21" s="8" t="s">
        <v>162</v>
      </c>
      <c r="D21" s="98" t="s">
        <v>20</v>
      </c>
      <c r="E21" s="99" t="s">
        <v>65</v>
      </c>
      <c r="F21" s="14"/>
      <c r="G21" s="13"/>
      <c r="H21" s="14"/>
    </row>
    <row r="22" spans="2:8" x14ac:dyDescent="0.2">
      <c r="B22" s="11" t="s">
        <v>21</v>
      </c>
      <c r="C22" s="12">
        <v>4.9000000000000002E-2</v>
      </c>
      <c r="D22" s="20">
        <v>0.03</v>
      </c>
      <c r="E22" s="21">
        <f>(1 + $C$25+D22)/(1+C22)-1</f>
        <v>0.15347950428979984</v>
      </c>
      <c r="H22" s="13"/>
    </row>
    <row r="23" spans="2:8" x14ac:dyDescent="0.2">
      <c r="B23" s="11" t="s">
        <v>22</v>
      </c>
      <c r="C23" s="12">
        <v>0.04</v>
      </c>
      <c r="D23" s="20">
        <v>0.03</v>
      </c>
      <c r="E23" s="21">
        <f>(1 + $C$25+D23)/(1+C23)-1</f>
        <v>0.16346153846153832</v>
      </c>
      <c r="G23" s="13"/>
      <c r="H23" s="13"/>
    </row>
    <row r="24" spans="2:8" x14ac:dyDescent="0.2">
      <c r="B24" s="11" t="s">
        <v>55</v>
      </c>
      <c r="C24" s="56">
        <v>0.04</v>
      </c>
      <c r="D24" s="20">
        <v>0.03</v>
      </c>
      <c r="E24" s="21">
        <f>(1 + $C$25+D24)/(1+C24)-1</f>
        <v>0.16346153846153832</v>
      </c>
    </row>
    <row r="25" spans="2:8" x14ac:dyDescent="0.2">
      <c r="B25" s="38" t="s">
        <v>126</v>
      </c>
      <c r="C25" s="57">
        <v>0.18</v>
      </c>
    </row>
    <row r="26" spans="2:8" x14ac:dyDescent="0.2">
      <c r="B26" s="38" t="s">
        <v>69</v>
      </c>
      <c r="C26" s="39" t="s">
        <v>70</v>
      </c>
      <c r="D26" s="102" t="s">
        <v>71</v>
      </c>
      <c r="E26" s="102" t="s">
        <v>72</v>
      </c>
    </row>
    <row r="27" spans="2:8" ht="153" x14ac:dyDescent="0.2">
      <c r="B27" s="38" t="s">
        <v>18</v>
      </c>
      <c r="C27" s="40" t="s">
        <v>73</v>
      </c>
      <c r="D27" s="103"/>
      <c r="E27" s="103"/>
    </row>
  </sheetData>
  <mergeCells count="4">
    <mergeCell ref="D26:D27"/>
    <mergeCell ref="E26:E27"/>
    <mergeCell ref="B20:E20"/>
    <mergeCell ref="E3:F3"/>
  </mergeCells>
  <phoneticPr fontId="12" type="noConversion"/>
  <hyperlinks>
    <hyperlink ref="C26" r:id="rId1" xr:uid="{11EEFF82-CC81-F14E-89E9-9A99E456FE45}"/>
    <hyperlink ref="H3" r:id="rId2" xr:uid="{57CDAB99-40BF-4B42-B854-6089C3560ED5}"/>
    <hyperlink ref="E3" r:id="rId3" xr:uid="{DC2F4471-C500-0E44-B1A2-8A5A6AE9BBD0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2D6A-80BA-9245-8783-4D72834CEAE9}">
  <dimension ref="A1:K51"/>
  <sheetViews>
    <sheetView zoomScale="69" workbookViewId="0">
      <selection activeCell="C26" sqref="C26"/>
    </sheetView>
  </sheetViews>
  <sheetFormatPr baseColWidth="10" defaultRowHeight="19" x14ac:dyDescent="0.25"/>
  <cols>
    <col min="1" max="1" width="48.6640625" style="37" customWidth="1"/>
    <col min="2" max="2" width="59.6640625" style="3" bestFit="1" customWidth="1"/>
    <col min="3" max="3" width="17.6640625" style="3" bestFit="1" customWidth="1"/>
    <col min="4" max="4" width="61" style="3" bestFit="1" customWidth="1"/>
    <col min="5" max="16384" width="10.83203125" style="3"/>
  </cols>
  <sheetData>
    <row r="1" spans="1:4" s="2" customFormat="1" ht="20" x14ac:dyDescent="0.25">
      <c r="A1" s="1" t="s">
        <v>6</v>
      </c>
      <c r="B1" s="2" t="s">
        <v>8</v>
      </c>
    </row>
    <row r="2" spans="1:4" ht="20" x14ac:dyDescent="0.25">
      <c r="A2" s="41" t="s">
        <v>0</v>
      </c>
      <c r="B2" s="42" t="s">
        <v>124</v>
      </c>
      <c r="C2" s="42">
        <f>SUM(C3:C10)</f>
        <v>9</v>
      </c>
    </row>
    <row r="3" spans="1:4" ht="20" x14ac:dyDescent="0.25">
      <c r="A3" s="43" t="s">
        <v>67</v>
      </c>
      <c r="B3" s="44" t="s">
        <v>129</v>
      </c>
      <c r="C3" s="45">
        <v>4.5</v>
      </c>
    </row>
    <row r="4" spans="1:4" x14ac:dyDescent="0.25">
      <c r="A4" s="46" t="s">
        <v>9</v>
      </c>
      <c r="B4" s="46" t="s">
        <v>10</v>
      </c>
      <c r="C4" s="45">
        <v>2</v>
      </c>
    </row>
    <row r="5" spans="1:4" x14ac:dyDescent="0.25">
      <c r="A5" s="46" t="s">
        <v>13</v>
      </c>
      <c r="B5" s="46" t="s">
        <v>14</v>
      </c>
      <c r="C5" s="45">
        <v>0.7</v>
      </c>
    </row>
    <row r="6" spans="1:4" x14ac:dyDescent="0.25">
      <c r="A6" s="46" t="s">
        <v>11</v>
      </c>
      <c r="B6" s="46" t="s">
        <v>12</v>
      </c>
      <c r="C6" s="45">
        <v>0.8</v>
      </c>
    </row>
    <row r="7" spans="1:4" ht="20" x14ac:dyDescent="0.25">
      <c r="A7" s="43" t="s">
        <v>1</v>
      </c>
      <c r="B7" s="45"/>
      <c r="C7" s="45"/>
    </row>
    <row r="8" spans="1:4" ht="20" x14ac:dyDescent="0.25">
      <c r="A8" s="43" t="s">
        <v>2</v>
      </c>
      <c r="B8" s="45"/>
      <c r="C8" s="45"/>
    </row>
    <row r="9" spans="1:4" ht="20" x14ac:dyDescent="0.25">
      <c r="A9" s="43" t="s">
        <v>3</v>
      </c>
      <c r="B9" s="45"/>
      <c r="C9" s="45"/>
    </row>
    <row r="10" spans="1:4" ht="40" x14ac:dyDescent="0.25">
      <c r="A10" s="47" t="s">
        <v>4</v>
      </c>
      <c r="B10" s="48"/>
      <c r="C10" s="48">
        <v>1</v>
      </c>
    </row>
    <row r="11" spans="1:4" ht="20" x14ac:dyDescent="0.25">
      <c r="A11" s="41" t="s">
        <v>5</v>
      </c>
      <c r="B11" s="42" t="s">
        <v>41</v>
      </c>
      <c r="C11" s="49">
        <f>(1+C28)*SUM(C12,C16,C19,C22,C24)</f>
        <v>7245000</v>
      </c>
      <c r="D11" s="49"/>
    </row>
    <row r="12" spans="1:4" ht="20" x14ac:dyDescent="0.25">
      <c r="A12" s="50" t="s">
        <v>42</v>
      </c>
      <c r="B12" s="50" t="s">
        <v>25</v>
      </c>
      <c r="C12" s="51">
        <f>SUM(C13:C15)</f>
        <v>2800000</v>
      </c>
      <c r="D12" s="50" t="s">
        <v>25</v>
      </c>
    </row>
    <row r="13" spans="1:4" ht="40" x14ac:dyDescent="0.25">
      <c r="A13" s="52" t="s">
        <v>43</v>
      </c>
      <c r="B13" s="52" t="s">
        <v>26</v>
      </c>
      <c r="C13" s="53">
        <v>900000</v>
      </c>
      <c r="D13" s="52" t="s">
        <v>27</v>
      </c>
    </row>
    <row r="14" spans="1:4" ht="40" x14ac:dyDescent="0.25">
      <c r="A14" s="52" t="s">
        <v>44</v>
      </c>
      <c r="B14" s="52" t="s">
        <v>28</v>
      </c>
      <c r="C14" s="53">
        <v>1500000</v>
      </c>
      <c r="D14" s="52" t="s">
        <v>29</v>
      </c>
    </row>
    <row r="15" spans="1:4" ht="20" x14ac:dyDescent="0.25">
      <c r="A15" s="52" t="s">
        <v>45</v>
      </c>
      <c r="B15" s="52" t="s">
        <v>30</v>
      </c>
      <c r="C15" s="53">
        <v>400000</v>
      </c>
      <c r="D15" s="45"/>
    </row>
    <row r="16" spans="1:4" ht="20" x14ac:dyDescent="0.25">
      <c r="A16" s="50" t="s">
        <v>46</v>
      </c>
      <c r="B16" s="50" t="s">
        <v>25</v>
      </c>
      <c r="C16" s="51">
        <f>SUM(C17:C18)</f>
        <v>1700000</v>
      </c>
      <c r="D16" s="50" t="s">
        <v>25</v>
      </c>
    </row>
    <row r="17" spans="1:11" ht="40" x14ac:dyDescent="0.25">
      <c r="A17" s="52" t="s">
        <v>47</v>
      </c>
      <c r="B17" s="52" t="s">
        <v>31</v>
      </c>
      <c r="C17" s="53">
        <v>800000</v>
      </c>
      <c r="D17" s="52" t="s">
        <v>32</v>
      </c>
    </row>
    <row r="18" spans="1:11" ht="20" x14ac:dyDescent="0.25">
      <c r="A18" s="52" t="s">
        <v>48</v>
      </c>
      <c r="B18" s="52" t="s">
        <v>33</v>
      </c>
      <c r="C18" s="53">
        <v>900000</v>
      </c>
      <c r="D18" s="52" t="s">
        <v>34</v>
      </c>
    </row>
    <row r="19" spans="1:11" ht="20" x14ac:dyDescent="0.25">
      <c r="A19" s="50" t="s">
        <v>54</v>
      </c>
      <c r="B19" s="50" t="s">
        <v>25</v>
      </c>
      <c r="C19" s="51">
        <f>SUM(C20:C21)</f>
        <v>900000</v>
      </c>
      <c r="D19" s="50" t="s">
        <v>25</v>
      </c>
    </row>
    <row r="20" spans="1:11" ht="20" x14ac:dyDescent="0.25">
      <c r="A20" s="52" t="s">
        <v>49</v>
      </c>
      <c r="B20" s="52" t="s">
        <v>35</v>
      </c>
      <c r="C20" s="53">
        <v>500000</v>
      </c>
      <c r="D20" s="52" t="s">
        <v>36</v>
      </c>
    </row>
    <row r="21" spans="1:11" ht="20" x14ac:dyDescent="0.25">
      <c r="A21" s="52" t="s">
        <v>50</v>
      </c>
      <c r="B21" s="52" t="s">
        <v>37</v>
      </c>
      <c r="C21" s="53">
        <v>400000</v>
      </c>
      <c r="D21" s="52" t="s">
        <v>38</v>
      </c>
    </row>
    <row r="22" spans="1:11" ht="20" x14ac:dyDescent="0.25">
      <c r="A22" s="50" t="s">
        <v>51</v>
      </c>
      <c r="B22" s="50" t="s">
        <v>25</v>
      </c>
      <c r="C22" s="51">
        <f>SUM(C23)</f>
        <v>500000</v>
      </c>
      <c r="D22" s="50" t="s">
        <v>25</v>
      </c>
    </row>
    <row r="23" spans="1:11" ht="20" x14ac:dyDescent="0.25">
      <c r="A23" s="52" t="s">
        <v>52</v>
      </c>
      <c r="B23" s="52" t="s">
        <v>39</v>
      </c>
      <c r="C23" s="53">
        <v>500000</v>
      </c>
      <c r="D23" s="52" t="s">
        <v>40</v>
      </c>
    </row>
    <row r="24" spans="1:11" ht="40" x14ac:dyDescent="0.25">
      <c r="A24" s="50" t="s">
        <v>177</v>
      </c>
      <c r="B24" s="50" t="s">
        <v>182</v>
      </c>
      <c r="C24" s="51">
        <f>SUM(C25:C27)</f>
        <v>1000000</v>
      </c>
      <c r="D24" s="50"/>
    </row>
    <row r="25" spans="1:11" ht="20" x14ac:dyDescent="0.25">
      <c r="A25" s="52" t="s">
        <v>183</v>
      </c>
      <c r="B25" s="52" t="s">
        <v>184</v>
      </c>
      <c r="C25" s="53">
        <v>500000</v>
      </c>
      <c r="D25" s="52"/>
    </row>
    <row r="26" spans="1:11" ht="20" x14ac:dyDescent="0.25">
      <c r="A26" s="52" t="s">
        <v>185</v>
      </c>
      <c r="B26" s="52"/>
      <c r="C26" s="53">
        <v>500000</v>
      </c>
      <c r="D26" s="52"/>
    </row>
    <row r="27" spans="1:11" x14ac:dyDescent="0.25">
      <c r="A27" s="52"/>
      <c r="B27" s="52"/>
      <c r="C27" s="53"/>
      <c r="D27" s="52"/>
    </row>
    <row r="28" spans="1:11" ht="20" x14ac:dyDescent="0.25">
      <c r="A28" s="50" t="s">
        <v>53</v>
      </c>
      <c r="B28" s="50"/>
      <c r="C28" s="54">
        <v>0.05</v>
      </c>
      <c r="D28" s="55">
        <f>C28*SUM(C12,C16,C19,C22)</f>
        <v>295000</v>
      </c>
    </row>
    <row r="29" spans="1:11" x14ac:dyDescent="0.25">
      <c r="B29" s="5"/>
      <c r="C29" s="5"/>
    </row>
    <row r="30" spans="1:11" ht="20" x14ac:dyDescent="0.25">
      <c r="A30" s="41" t="s">
        <v>130</v>
      </c>
      <c r="B30" s="42" t="s">
        <v>41</v>
      </c>
      <c r="C30" s="49">
        <f>C31*(1+C37)</f>
        <v>2509500</v>
      </c>
      <c r="D30" s="49"/>
    </row>
    <row r="31" spans="1:11" ht="20" x14ac:dyDescent="0.25">
      <c r="A31" s="50" t="s">
        <v>141</v>
      </c>
      <c r="B31" s="50" t="s">
        <v>142</v>
      </c>
      <c r="C31" s="51">
        <f>SUM(C32:C36)</f>
        <v>2390000</v>
      </c>
      <c r="D31" s="51" t="s">
        <v>131</v>
      </c>
    </row>
    <row r="32" spans="1:11" x14ac:dyDescent="0.25">
      <c r="A32" s="88" t="s">
        <v>132</v>
      </c>
      <c r="B32" s="88" t="s">
        <v>133</v>
      </c>
      <c r="C32" s="89">
        <f>2000000/1000*200</f>
        <v>400000</v>
      </c>
      <c r="D32" s="88" t="s">
        <v>186</v>
      </c>
      <c r="K32" s="87"/>
    </row>
    <row r="33" spans="1:11" x14ac:dyDescent="0.25">
      <c r="A33" s="88" t="s">
        <v>134</v>
      </c>
      <c r="B33" s="88" t="s">
        <v>135</v>
      </c>
      <c r="C33" s="89">
        <f>1500000/1000*100</f>
        <v>150000</v>
      </c>
      <c r="D33" s="88" t="s">
        <v>187</v>
      </c>
      <c r="K33" s="88"/>
    </row>
    <row r="34" spans="1:11" x14ac:dyDescent="0.25">
      <c r="A34" s="88" t="s">
        <v>136</v>
      </c>
      <c r="B34" s="88" t="s">
        <v>137</v>
      </c>
      <c r="C34" s="89">
        <f>1000000/1000*200</f>
        <v>200000</v>
      </c>
      <c r="D34" s="88" t="s">
        <v>188</v>
      </c>
      <c r="K34" s="88"/>
    </row>
    <row r="35" spans="1:11" x14ac:dyDescent="0.25">
      <c r="A35" s="88" t="s">
        <v>190</v>
      </c>
      <c r="B35" s="88" t="s">
        <v>191</v>
      </c>
      <c r="C35" s="89">
        <f>136000000*60%/50</f>
        <v>1632000</v>
      </c>
      <c r="D35" s="88"/>
      <c r="K35" s="88"/>
    </row>
    <row r="36" spans="1:11" x14ac:dyDescent="0.25">
      <c r="A36" s="88" t="s">
        <v>138</v>
      </c>
      <c r="B36" s="88" t="s">
        <v>139</v>
      </c>
      <c r="C36" s="89">
        <f>8000</f>
        <v>8000</v>
      </c>
      <c r="D36" s="88" t="s">
        <v>189</v>
      </c>
      <c r="E36" s="87"/>
      <c r="F36" s="87"/>
      <c r="K36" s="88"/>
    </row>
    <row r="37" spans="1:11" ht="20" x14ac:dyDescent="0.25">
      <c r="A37" s="50" t="s">
        <v>53</v>
      </c>
      <c r="B37" s="50"/>
      <c r="C37" s="90">
        <v>0.05</v>
      </c>
      <c r="D37" s="50"/>
      <c r="E37" s="87"/>
      <c r="F37" s="87"/>
      <c r="K37" s="88"/>
    </row>
    <row r="38" spans="1:11" x14ac:dyDescent="0.25">
      <c r="A38" s="88"/>
      <c r="B38" s="88"/>
      <c r="C38" s="89"/>
      <c r="D38" s="88"/>
      <c r="E38" s="87"/>
      <c r="F38" s="87"/>
      <c r="K38" s="88"/>
    </row>
    <row r="39" spans="1:11" x14ac:dyDescent="0.25">
      <c r="A39" s="88"/>
      <c r="B39" s="88"/>
      <c r="C39" s="89"/>
      <c r="D39" s="88"/>
      <c r="E39" s="87"/>
      <c r="F39" s="87"/>
      <c r="K39" s="88"/>
    </row>
    <row r="40" spans="1:11" x14ac:dyDescent="0.25">
      <c r="E40" s="88"/>
      <c r="F40" s="89"/>
      <c r="K40" s="88"/>
    </row>
    <row r="41" spans="1:11" x14ac:dyDescent="0.25">
      <c r="E41" s="88"/>
      <c r="F41" s="89"/>
      <c r="K41" s="88"/>
    </row>
    <row r="42" spans="1:11" x14ac:dyDescent="0.25">
      <c r="E42" s="88"/>
      <c r="F42" s="89"/>
      <c r="K42" s="88" t="s">
        <v>140</v>
      </c>
    </row>
    <row r="43" spans="1:11" x14ac:dyDescent="0.25">
      <c r="E43" s="88"/>
      <c r="F43" s="89"/>
    </row>
    <row r="44" spans="1:11" x14ac:dyDescent="0.25">
      <c r="A44" s="88"/>
      <c r="C44" s="88"/>
      <c r="D44" s="88"/>
      <c r="E44" s="88"/>
      <c r="F44" s="88"/>
    </row>
    <row r="45" spans="1:11" x14ac:dyDescent="0.25">
      <c r="A45" s="88"/>
      <c r="C45" s="88"/>
      <c r="D45" s="88"/>
      <c r="E45" s="88"/>
      <c r="F45" s="89"/>
    </row>
    <row r="47" spans="1:11" x14ac:dyDescent="0.25">
      <c r="B47" s="87"/>
    </row>
    <row r="48" spans="1:11" x14ac:dyDescent="0.25">
      <c r="B48" s="88"/>
    </row>
    <row r="49" spans="2:2" x14ac:dyDescent="0.25">
      <c r="B49" s="88"/>
    </row>
    <row r="50" spans="2:2" x14ac:dyDescent="0.25">
      <c r="B50" s="88"/>
    </row>
    <row r="51" spans="2:2" x14ac:dyDescent="0.25">
      <c r="B51" s="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CD51-26C6-D548-B702-A7469303B742}">
  <dimension ref="A1:AE77"/>
  <sheetViews>
    <sheetView tabSelected="1" topLeftCell="A27" zoomScale="63" zoomScaleNormal="42" workbookViewId="0">
      <selection activeCell="F78" sqref="F78"/>
    </sheetView>
  </sheetViews>
  <sheetFormatPr baseColWidth="10" defaultColWidth="12.6640625" defaultRowHeight="16" x14ac:dyDescent="0.2"/>
  <cols>
    <col min="1" max="1" width="58.5" style="4" customWidth="1"/>
    <col min="2" max="2" width="16" style="4" bestFit="1" customWidth="1"/>
    <col min="3" max="5" width="13.6640625" style="4" bestFit="1" customWidth="1"/>
    <col min="6" max="6" width="14.6640625" style="4" bestFit="1" customWidth="1"/>
    <col min="7" max="7" width="15.6640625" style="4" bestFit="1" customWidth="1"/>
    <col min="8" max="13" width="14.6640625" style="4" bestFit="1" customWidth="1"/>
    <col min="14" max="29" width="15.6640625" style="4" bestFit="1" customWidth="1"/>
    <col min="30" max="30" width="12.6640625" style="4"/>
    <col min="31" max="31" width="15.33203125" style="4" bestFit="1" customWidth="1"/>
    <col min="32" max="16384" width="12.6640625" style="4"/>
  </cols>
  <sheetData>
    <row r="1" spans="1:29" x14ac:dyDescent="0.2">
      <c r="A1" s="105" t="s">
        <v>23</v>
      </c>
      <c r="B1" s="106"/>
      <c r="C1" s="106"/>
      <c r="D1" s="106"/>
      <c r="E1" s="106"/>
      <c r="F1" s="106"/>
      <c r="G1" s="106"/>
      <c r="H1" s="107"/>
      <c r="I1" s="23"/>
      <c r="J1" s="23"/>
      <c r="K1" s="23"/>
      <c r="L1" s="23"/>
      <c r="M1" s="24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x14ac:dyDescent="0.2">
      <c r="A2" s="22"/>
      <c r="B2" s="25">
        <v>46023</v>
      </c>
      <c r="C2" s="25">
        <v>46054</v>
      </c>
      <c r="D2" s="25">
        <v>46082</v>
      </c>
      <c r="E2" s="25">
        <v>46113</v>
      </c>
      <c r="F2" s="25">
        <v>46143</v>
      </c>
      <c r="G2" s="25">
        <v>46174</v>
      </c>
      <c r="H2" s="25">
        <v>46204</v>
      </c>
      <c r="I2" s="25">
        <v>46235</v>
      </c>
      <c r="J2" s="25">
        <v>46266</v>
      </c>
      <c r="K2" s="25">
        <v>46296</v>
      </c>
      <c r="L2" s="25">
        <v>46327</v>
      </c>
      <c r="M2" s="25">
        <v>46357</v>
      </c>
      <c r="N2" s="25">
        <v>46388</v>
      </c>
      <c r="O2" s="25">
        <v>46419</v>
      </c>
      <c r="P2" s="25">
        <v>46447</v>
      </c>
      <c r="Q2" s="25">
        <v>46478</v>
      </c>
      <c r="R2" s="25">
        <v>46508</v>
      </c>
      <c r="S2" s="25">
        <v>46539</v>
      </c>
      <c r="T2" s="25">
        <v>46569</v>
      </c>
      <c r="U2" s="25">
        <v>46600</v>
      </c>
      <c r="V2" s="25">
        <v>46631</v>
      </c>
      <c r="W2" s="25">
        <v>46661</v>
      </c>
      <c r="X2" s="25">
        <v>46692</v>
      </c>
      <c r="Y2" s="25">
        <v>46722</v>
      </c>
      <c r="Z2" s="25">
        <v>46753</v>
      </c>
      <c r="AA2" s="25">
        <v>46784</v>
      </c>
      <c r="AB2" s="25">
        <v>46813</v>
      </c>
      <c r="AC2" s="25">
        <v>46844</v>
      </c>
    </row>
    <row r="3" spans="1:29" ht="17" x14ac:dyDescent="0.2">
      <c r="A3" s="26" t="s">
        <v>15</v>
      </c>
      <c r="B3" s="27"/>
      <c r="C3" s="27"/>
      <c r="D3" s="27"/>
      <c r="E3" s="27"/>
      <c r="F3" s="27">
        <v>1</v>
      </c>
      <c r="G3" s="27">
        <v>2</v>
      </c>
      <c r="H3" s="27">
        <v>3</v>
      </c>
      <c r="I3" s="27">
        <v>4</v>
      </c>
      <c r="J3" s="27">
        <v>5</v>
      </c>
      <c r="K3" s="27">
        <v>6</v>
      </c>
      <c r="L3" s="27">
        <v>7</v>
      </c>
      <c r="M3" s="27">
        <v>8</v>
      </c>
      <c r="N3" s="27">
        <v>9</v>
      </c>
      <c r="O3" s="27">
        <v>10</v>
      </c>
      <c r="P3" s="27">
        <v>11</v>
      </c>
      <c r="Q3" s="27">
        <v>12</v>
      </c>
      <c r="R3" s="93">
        <v>13</v>
      </c>
      <c r="S3" s="27">
        <v>14</v>
      </c>
      <c r="T3" s="27">
        <v>15</v>
      </c>
      <c r="U3" s="27">
        <v>16</v>
      </c>
      <c r="V3" s="27">
        <v>17</v>
      </c>
      <c r="W3" s="93">
        <v>18</v>
      </c>
      <c r="X3" s="27">
        <v>19</v>
      </c>
      <c r="Y3" s="27">
        <v>20</v>
      </c>
      <c r="Z3" s="27">
        <v>21</v>
      </c>
      <c r="AA3" s="27">
        <v>22</v>
      </c>
      <c r="AB3" s="27">
        <v>23</v>
      </c>
      <c r="AC3" s="27">
        <v>24</v>
      </c>
    </row>
    <row r="4" spans="1:29" ht="17" x14ac:dyDescent="0.2">
      <c r="A4" s="26" t="s">
        <v>123</v>
      </c>
      <c r="B4" s="28">
        <v>0</v>
      </c>
      <c r="C4" s="28">
        <v>0</v>
      </c>
      <c r="D4" s="28">
        <v>0</v>
      </c>
      <c r="E4" s="28">
        <v>0</v>
      </c>
      <c r="F4" s="94">
        <v>0.05</v>
      </c>
      <c r="G4" s="94">
        <f>F4*(1+Предпосылки!$C$18/10)</f>
        <v>5.1548750000000004E-2</v>
      </c>
      <c r="H4" s="94">
        <f>G4*(1+Предпосылки!$C$18/10)</f>
        <v>5.3145472531250001E-2</v>
      </c>
      <c r="I4" s="94">
        <f>H4*(1+Предпосылки!$C$18/10)</f>
        <v>5.4791653542905466E-2</v>
      </c>
      <c r="J4" s="94">
        <f>I4*(1+Предпосылки!$C$18/10)</f>
        <v>5.6488825011396959E-2</v>
      </c>
      <c r="K4" s="94">
        <f>J4*(1+Предпосылки!$C$18/10)</f>
        <v>5.8238566366124976E-2</v>
      </c>
      <c r="L4" s="94">
        <f>K4*(1+Предпосылки!$C$18/10)</f>
        <v>6.0042505959315692E-2</v>
      </c>
      <c r="M4" s="94">
        <f>L4*(1+Предпосылки!$C$18/10)</f>
        <v>6.1902322581405496E-2</v>
      </c>
      <c r="N4" s="94">
        <f>M4*(1+Предпосылки!$C$18/10)</f>
        <v>6.3819747023364529E-2</v>
      </c>
      <c r="O4" s="94">
        <f>N4*(1+Предпосылки!$C$18/10)</f>
        <v>6.579656368741324E-2</v>
      </c>
      <c r="P4" s="94">
        <f>O4*(1+Предпосылки!$C$18/10)</f>
        <v>6.7834612247630863E-2</v>
      </c>
      <c r="Q4" s="94">
        <f>P4*(1+Предпосылки!$C$18/10)</f>
        <v>6.9935789362001233E-2</v>
      </c>
      <c r="R4" s="94">
        <f>Q4*(1+Предпосылки!$C$18/10)</f>
        <v>7.2102050437489212E-2</v>
      </c>
      <c r="S4" s="94">
        <f>R4*(1+Предпосылки!$C$18/10)</f>
        <v>7.4335411449790445E-2</v>
      </c>
      <c r="T4" s="94">
        <f>S4*(1+Предпосылки!$C$18/10)</f>
        <v>7.66379508194477E-2</v>
      </c>
      <c r="U4" s="94">
        <f>T4*(1+Предпосылки!$C$18/10)</f>
        <v>7.9011811346080096E-2</v>
      </c>
      <c r="V4" s="94">
        <f>U4*(1+Предпосылки!$C$18/10)</f>
        <v>8.1459202202524922E-2</v>
      </c>
      <c r="W4" s="94">
        <f>V4*(1+Предпосылки!$C$18/10)</f>
        <v>8.3982400990748135E-2</v>
      </c>
      <c r="X4" s="94">
        <f>W4*(1+Предпосылки!$C$18/10)</f>
        <v>8.6583755861436559E-2</v>
      </c>
      <c r="Y4" s="94">
        <f>X4*(1+Предпосылки!$C$18/10)</f>
        <v>8.9265687699244561E-2</v>
      </c>
      <c r="Z4" s="94">
        <f>Y4*(1+Предпосылки!$C$18/10)</f>
        <v>9.2030692375728654E-2</v>
      </c>
      <c r="AA4" s="94">
        <f>Z4*(1+Предпосылки!$C$18/10)</f>
        <v>9.4881343072066845E-2</v>
      </c>
      <c r="AB4" s="94">
        <f>AA4*(1+Предпосылки!$C$18/10)</f>
        <v>9.7820292673724107E-2</v>
      </c>
      <c r="AC4" s="94">
        <f>AB4*(1+Предпосылки!$C$18/10)</f>
        <v>0.10085027623929271</v>
      </c>
    </row>
    <row r="5" spans="1:29" ht="17" x14ac:dyDescent="0.2">
      <c r="A5" s="83" t="str">
        <f>A31</f>
        <v>Брендированные плейлисты/каналы</v>
      </c>
      <c r="B5" s="91"/>
      <c r="C5" s="91"/>
      <c r="D5" s="91"/>
      <c r="E5" s="91"/>
      <c r="F5" s="16">
        <f>Предпосылки!$G$6*F$4</f>
        <v>500000</v>
      </c>
      <c r="G5" s="16">
        <f>Предпосылки!$G$6*G$4</f>
        <v>515487.50000000006</v>
      </c>
      <c r="H5" s="16">
        <f>Предпосылки!$G$6*H$4</f>
        <v>531454.72531250003</v>
      </c>
      <c r="I5" s="16">
        <f>Предпосылки!$G$6*I$4</f>
        <v>547916.53542905464</v>
      </c>
      <c r="J5" s="16">
        <f>Предпосылки!$G$6*J$4</f>
        <v>564888.25011396955</v>
      </c>
      <c r="K5" s="16">
        <f>Предпосылки!$G$6*K$4</f>
        <v>582385.6636612498</v>
      </c>
      <c r="L5" s="16">
        <f>Предпосылки!$G$6*L$4</f>
        <v>600425.05959315691</v>
      </c>
      <c r="M5" s="16">
        <f>Предпосылки!$G$6*M$4</f>
        <v>619023.22581405495</v>
      </c>
      <c r="N5" s="16">
        <f>Предпосылки!$G$6*N$4</f>
        <v>638197.47023364529</v>
      </c>
      <c r="O5" s="16">
        <f>Предпосылки!$G$6*O$4</f>
        <v>657965.63687413244</v>
      </c>
      <c r="P5" s="16">
        <f>Предпосылки!$G$6*P$4</f>
        <v>678346.12247630861</v>
      </c>
      <c r="Q5" s="16">
        <f>Предпосылки!$G$6*Q$4</f>
        <v>699357.89362001233</v>
      </c>
      <c r="R5" s="16">
        <f>Предпосылки!$G$6*R$4</f>
        <v>721020.5043748921</v>
      </c>
      <c r="S5" s="16">
        <f>Предпосылки!$G$6*S$4</f>
        <v>743354.11449790443</v>
      </c>
      <c r="T5" s="16">
        <f>Предпосылки!$G$6*T$4</f>
        <v>766379.50819447695</v>
      </c>
      <c r="U5" s="16">
        <f>Предпосылки!$G$6*U$4</f>
        <v>790118.11346080096</v>
      </c>
      <c r="V5" s="16">
        <f>Предпосылки!$G$6*V$4</f>
        <v>814592.0220252492</v>
      </c>
      <c r="W5" s="16">
        <f>Предпосылки!$G$6*W$4</f>
        <v>839824.00990748138</v>
      </c>
      <c r="X5" s="16">
        <f>Предпосылки!$G$6*X$4</f>
        <v>865837.55861436564</v>
      </c>
      <c r="Y5" s="16">
        <f>Предпосылки!$G$6*Y$4</f>
        <v>892656.87699244556</v>
      </c>
      <c r="Z5" s="16">
        <f>Предпосылки!$G$6*Z$4</f>
        <v>920306.92375728651</v>
      </c>
      <c r="AA5" s="16">
        <f>Предпосылки!$G$6*AA$4</f>
        <v>948813.4307206684</v>
      </c>
      <c r="AB5" s="16">
        <f>Предпосылки!$G$6*AB$4</f>
        <v>978202.9267372411</v>
      </c>
      <c r="AC5" s="16">
        <f>Предпосылки!$G$6*AC$4</f>
        <v>1008502.7623929271</v>
      </c>
    </row>
    <row r="6" spans="1:29" ht="17" x14ac:dyDescent="0.2">
      <c r="A6" s="83" t="str">
        <f t="shared" ref="A6:A9" si="0">A32</f>
        <v>Реклама перед/после видео</v>
      </c>
      <c r="B6" s="16"/>
      <c r="C6" s="16"/>
      <c r="D6" s="16"/>
      <c r="E6" s="16"/>
      <c r="F6" s="16">
        <f>Предпосылки!$G$8*F$4</f>
        <v>99674.999999999956</v>
      </c>
      <c r="G6" s="16">
        <f>Предпосылки!$G$8*G$4</f>
        <v>102762.43312499997</v>
      </c>
      <c r="H6" s="16">
        <f>Предпосылки!$G$8*H$4</f>
        <v>105945.49949104682</v>
      </c>
      <c r="I6" s="16">
        <f>Предпосылки!$G$8*I$4</f>
        <v>109227.161337782</v>
      </c>
      <c r="J6" s="16">
        <f>Предпосылки!$G$8*J$4</f>
        <v>112610.47266021979</v>
      </c>
      <c r="K6" s="16">
        <f>Предпосылки!$G$8*K$4</f>
        <v>116098.58205087009</v>
      </c>
      <c r="L6" s="16">
        <f>Предпосылки!$G$8*L$4</f>
        <v>119694.73562989577</v>
      </c>
      <c r="M6" s="16">
        <f>Предпосылки!$G$8*M$4</f>
        <v>123402.2800660318</v>
      </c>
      <c r="N6" s="16">
        <f>Предпосылки!$G$8*N$4</f>
        <v>127224.66569107713</v>
      </c>
      <c r="O6" s="16">
        <f>Предпосылки!$G$8*O$4</f>
        <v>131165.44971085823</v>
      </c>
      <c r="P6" s="16">
        <f>Предпосылки!$G$8*P$4</f>
        <v>135228.29951565206</v>
      </c>
      <c r="Q6" s="16">
        <f>Предпосылки!$G$8*Q$4</f>
        <v>139416.99609314938</v>
      </c>
      <c r="R6" s="16">
        <f>Предпосылки!$G$8*R$4</f>
        <v>143735.43754713467</v>
      </c>
      <c r="S6" s="16">
        <f>Предпосылки!$G$8*S$4</f>
        <v>148187.64272515717</v>
      </c>
      <c r="T6" s="16">
        <f>Предпосылки!$G$8*T$4</f>
        <v>152777.75495856893</v>
      </c>
      <c r="U6" s="16">
        <f>Предпосылки!$G$8*U$4</f>
        <v>157510.04591841059</v>
      </c>
      <c r="V6" s="16">
        <f>Предпосылки!$G$8*V$4</f>
        <v>162388.91959073336</v>
      </c>
      <c r="W6" s="16">
        <f>Предпосылки!$G$8*W$4</f>
        <v>167418.91637505632</v>
      </c>
      <c r="X6" s="16">
        <f>Предпосылки!$G$8*X$4</f>
        <v>172604.7173097737</v>
      </c>
      <c r="Y6" s="16">
        <f>Предпосылки!$G$8*Y$4</f>
        <v>177951.14842844394</v>
      </c>
      <c r="Z6" s="16">
        <f>Предпосылки!$G$8*Z$4</f>
        <v>183463.18525101498</v>
      </c>
      <c r="AA6" s="16">
        <f>Предпосылки!$G$8*AA$4</f>
        <v>189145.95741416517</v>
      </c>
      <c r="AB6" s="16">
        <f>Предпосылки!$G$8*AB$4</f>
        <v>195004.75344506893</v>
      </c>
      <c r="AC6" s="16">
        <f>Предпосылки!$G$8*AC$4</f>
        <v>201045.02568302993</v>
      </c>
    </row>
    <row r="7" spans="1:29" ht="17" x14ac:dyDescent="0.2">
      <c r="A7" s="83" t="str">
        <f t="shared" si="0"/>
        <v>Спонсорские интеграции в шоу</v>
      </c>
      <c r="B7" s="16"/>
      <c r="C7" s="16"/>
      <c r="D7" s="16"/>
      <c r="E7" s="16"/>
      <c r="F7" s="16">
        <f>Предпосылки!$G$7*F$4</f>
        <v>2250000</v>
      </c>
      <c r="G7" s="16">
        <f>Предпосылки!$G$7*G$4</f>
        <v>2319693.75</v>
      </c>
      <c r="H7" s="16">
        <f>Предпосылки!$G$7*H$4</f>
        <v>2391546.2639062502</v>
      </c>
      <c r="I7" s="16">
        <f>Предпосылки!$G$7*I$4</f>
        <v>2465624.409430746</v>
      </c>
      <c r="J7" s="16">
        <f>Предпосылки!$G$7*J$4</f>
        <v>2541997.125512863</v>
      </c>
      <c r="K7" s="16">
        <f>Предпосылки!$G$7*K$4</f>
        <v>2620735.4864756241</v>
      </c>
      <c r="L7" s="16">
        <f>Предпосылки!$G$7*L$4</f>
        <v>2701912.7681692061</v>
      </c>
      <c r="M7" s="16">
        <f>Предпосылки!$G$7*M$4</f>
        <v>2785604.5161632472</v>
      </c>
      <c r="N7" s="16">
        <f>Предпосылки!$G$7*N$4</f>
        <v>2871888.6160514038</v>
      </c>
      <c r="O7" s="16">
        <f>Предпосылки!$G$7*O$4</f>
        <v>2960845.3659335957</v>
      </c>
      <c r="P7" s="16">
        <f>Предпосылки!$G$7*P$4</f>
        <v>3052557.5511433887</v>
      </c>
      <c r="Q7" s="16">
        <f>Предпосылки!$G$7*Q$4</f>
        <v>3147110.5212900555</v>
      </c>
      <c r="R7" s="16">
        <f>Предпосылки!$G$7*R$4</f>
        <v>3244592.2696870146</v>
      </c>
      <c r="S7" s="16">
        <f>Предпосылки!$G$7*S$4</f>
        <v>3345093.5152405701</v>
      </c>
      <c r="T7" s="16">
        <f>Предпосылки!$G$7*T$4</f>
        <v>3448707.7868751464</v>
      </c>
      <c r="U7" s="16">
        <f>Предпосылки!$G$7*U$4</f>
        <v>3555531.5105736041</v>
      </c>
      <c r="V7" s="16">
        <f>Предпосылки!$G$7*V$4</f>
        <v>3665664.0991136213</v>
      </c>
      <c r="W7" s="16">
        <f>Предпосылки!$G$7*W$4</f>
        <v>3779208.0445836661</v>
      </c>
      <c r="X7" s="16">
        <f>Предпосылки!$G$7*X$4</f>
        <v>3896269.013764645</v>
      </c>
      <c r="Y7" s="16">
        <f>Предпосылки!$G$7*Y$4</f>
        <v>4016955.9464660054</v>
      </c>
      <c r="Z7" s="16">
        <f>Предпосылки!$G$7*Z$4</f>
        <v>4141381.1569077894</v>
      </c>
      <c r="AA7" s="16">
        <f>Предпосылки!$G$7*AA$4</f>
        <v>4269660.4382430082</v>
      </c>
      <c r="AB7" s="16">
        <f>Предпосылки!$G$7*AB$4</f>
        <v>4401913.1703175846</v>
      </c>
      <c r="AC7" s="16">
        <f>Предпосылки!$G$7*AC$4</f>
        <v>4538262.4307681723</v>
      </c>
    </row>
    <row r="8" spans="1:29" ht="17" x14ac:dyDescent="0.2">
      <c r="A8" s="83" t="str">
        <f t="shared" si="0"/>
        <v>реклама от авторов</v>
      </c>
      <c r="B8" s="16"/>
      <c r="C8" s="16"/>
      <c r="D8" s="16"/>
      <c r="E8" s="16"/>
      <c r="F8" s="16">
        <f>Предпосылки!$G$9*F$4</f>
        <v>5315.9999999999991</v>
      </c>
      <c r="G8" s="16">
        <f>Предпосылки!$G$9*G$4</f>
        <v>5480.6630999999988</v>
      </c>
      <c r="H8" s="16">
        <f>Предпосылки!$G$9*H$4</f>
        <v>5650.4266395224986</v>
      </c>
      <c r="I8" s="16">
        <f>Предпосылки!$G$9*I$4</f>
        <v>5825.4486046817074</v>
      </c>
      <c r="J8" s="16">
        <f>Предпосылки!$G$9*J$4</f>
        <v>6005.8918752117233</v>
      </c>
      <c r="K8" s="16">
        <f>Предпосылки!$G$9*K$4</f>
        <v>6191.924376046406</v>
      </c>
      <c r="L8" s="16">
        <f>Предпосылки!$G$9*L$4</f>
        <v>6383.7192335944428</v>
      </c>
      <c r="M8" s="16">
        <f>Предпосылки!$G$9*M$4</f>
        <v>6581.4549368550306</v>
      </c>
      <c r="N8" s="16">
        <f>Предпосылки!$G$9*N$4</f>
        <v>6785.3155035241152</v>
      </c>
      <c r="O8" s="16">
        <f>Предпосылки!$G$9*O$4</f>
        <v>6995.4906512457737</v>
      </c>
      <c r="P8" s="16">
        <f>Предпосылки!$G$9*P$4</f>
        <v>7212.1759741681117</v>
      </c>
      <c r="Q8" s="16">
        <f>Предпосылки!$G$9*Q$4</f>
        <v>7435.5731249679693</v>
      </c>
      <c r="R8" s="16">
        <f>Предпосылки!$G$9*R$4</f>
        <v>7665.890002513851</v>
      </c>
      <c r="S8" s="16">
        <f>Предпосылки!$G$9*S$4</f>
        <v>7903.340945341718</v>
      </c>
      <c r="T8" s="16">
        <f>Предпосылки!$G$9*T$4</f>
        <v>8148.1469311236769</v>
      </c>
      <c r="U8" s="16">
        <f>Предпосылки!$G$9*U$4</f>
        <v>8400.5357823152335</v>
      </c>
      <c r="V8" s="16">
        <f>Предпосылки!$G$9*V$4</f>
        <v>8660.7423781724465</v>
      </c>
      <c r="W8" s="16">
        <f>Предпосылки!$G$9*W$4</f>
        <v>8929.0088733363391</v>
      </c>
      <c r="X8" s="16">
        <f>Предпосылки!$G$9*X$4</f>
        <v>9205.5849231879329</v>
      </c>
      <c r="Y8" s="16">
        <f>Предпосылки!$G$9*Y$4</f>
        <v>9490.7279161836796</v>
      </c>
      <c r="Z8" s="16">
        <f>Предпосылки!$G$9*Z$4</f>
        <v>9784.7032133874673</v>
      </c>
      <c r="AA8" s="16">
        <f>Предпосылки!$G$9*AA$4</f>
        <v>10087.784395422144</v>
      </c>
      <c r="AB8" s="16">
        <f>Предпосылки!$G$9*AB$4</f>
        <v>10400.253517070345</v>
      </c>
      <c r="AC8" s="16">
        <f>Предпосылки!$G$9*AC$4</f>
        <v>10722.401369761599</v>
      </c>
    </row>
    <row r="9" spans="1:29" ht="17" x14ac:dyDescent="0.2">
      <c r="A9" s="83" t="str">
        <f t="shared" si="0"/>
        <v xml:space="preserve">Подписка на "без рекламы" </v>
      </c>
      <c r="B9" s="16"/>
      <c r="C9" s="16"/>
      <c r="D9" s="16"/>
      <c r="E9" s="16"/>
      <c r="F9" s="16">
        <f>Предпосылки!$G$11*F4</f>
        <v>0</v>
      </c>
      <c r="G9" s="16">
        <f>Предпосылки!$G$11*G4</f>
        <v>0</v>
      </c>
      <c r="H9" s="16">
        <f>Предпосылки!$G$11*H4</f>
        <v>0</v>
      </c>
      <c r="I9" s="16">
        <f>Предпосылки!$G$11*I4</f>
        <v>0</v>
      </c>
      <c r="J9" s="16">
        <f>Предпосылки!$G$11*J4</f>
        <v>0</v>
      </c>
      <c r="K9" s="16">
        <f>Предпосылки!$G$11*K4</f>
        <v>0</v>
      </c>
      <c r="L9" s="16">
        <f>Предпосылки!$G$11*L4</f>
        <v>0</v>
      </c>
      <c r="M9" s="16">
        <f>Предпосылки!$G$11*M4</f>
        <v>0</v>
      </c>
      <c r="N9" s="16">
        <f>Предпосылки!$G$11*N4</f>
        <v>0</v>
      </c>
      <c r="O9" s="16">
        <f>Предпосылки!$G$11*O4</f>
        <v>0</v>
      </c>
      <c r="P9" s="16">
        <f>Предпосылки!$G$11*P4</f>
        <v>0</v>
      </c>
      <c r="Q9" s="16">
        <f>Предпосылки!$G$11*Q4</f>
        <v>0</v>
      </c>
      <c r="R9" s="16">
        <f>Предпосылки!$G$11*R4</f>
        <v>0</v>
      </c>
      <c r="S9" s="16">
        <f>Предпосылки!$G$11*S4</f>
        <v>0</v>
      </c>
      <c r="T9" s="16">
        <f>Предпосылки!$G$11*T4</f>
        <v>0</v>
      </c>
      <c r="U9" s="16">
        <f>Предпосылки!$G$11*U4</f>
        <v>0</v>
      </c>
      <c r="V9" s="16">
        <f>Предпосылки!$G$11*V4</f>
        <v>0</v>
      </c>
      <c r="W9" s="16">
        <f>Предпосылки!$G$11*W4</f>
        <v>0</v>
      </c>
      <c r="X9" s="16">
        <f>Предпосылки!$G$11*X4</f>
        <v>0</v>
      </c>
      <c r="Y9" s="16">
        <f>Предпосылки!$G$11*Y4</f>
        <v>0</v>
      </c>
      <c r="Z9" s="16">
        <f>Предпосылки!$G$11*Z4</f>
        <v>0</v>
      </c>
      <c r="AA9" s="16">
        <f>Предпосылки!$G$11*AA4</f>
        <v>0</v>
      </c>
      <c r="AB9" s="16">
        <f>Предпосылки!$G$11*AB4</f>
        <v>0</v>
      </c>
      <c r="AC9" s="16">
        <f>Предпосылки!$G$11*AC4</f>
        <v>0</v>
      </c>
    </row>
    <row r="10" spans="1:29" x14ac:dyDescent="0.2">
      <c r="A10" s="108" t="str">
        <f>Предпосылки!B9</f>
        <v>реклама от авторов</v>
      </c>
      <c r="B10" s="16"/>
      <c r="C10" s="16"/>
      <c r="D10" s="16"/>
      <c r="E10" s="16"/>
      <c r="F10" s="16">
        <f>Предпосылки!$G$10*'Cash Flow'!F$30*Предпосылки!$C$14</f>
        <v>12937500</v>
      </c>
      <c r="G10" s="16">
        <f>Предпосылки!$G$10*'Cash Flow'!G$30*Предпосылки!$C$14</f>
        <v>13137869.531250002</v>
      </c>
      <c r="H10" s="16">
        <f>Предпосылки!$G$10*'Cash Flow'!H$30*Предпосылки!$C$14</f>
        <v>13341342.285615239</v>
      </c>
      <c r="I10" s="16">
        <f>Предпосылки!$G$10*'Cash Flow'!I$30*Предпосылки!$C$14</f>
        <v>13547966.324263705</v>
      </c>
      <c r="J10" s="16">
        <f>Предпосылки!$G$10*'Cash Flow'!J$30*Предпосылки!$C$14</f>
        <v>13757790.45271074</v>
      </c>
      <c r="K10" s="16">
        <f>Предпосылки!$G$10*'Cash Flow'!K$30*Предпосылки!$C$14</f>
        <v>13970864.232347099</v>
      </c>
      <c r="L10" s="16">
        <f>Предпосылки!$G$10*'Cash Flow'!L$30*Предпосылки!$C$14</f>
        <v>14187237.992145574</v>
      </c>
      <c r="M10" s="16">
        <f>Предпосылки!$G$10*'Cash Flow'!M$30*Предпосылки!$C$14</f>
        <v>14406962.840548931</v>
      </c>
      <c r="N10" s="16">
        <f>Предпосылки!$G$10*'Cash Flow'!N$30*Предпосылки!$C$14</f>
        <v>14630090.677541936</v>
      </c>
      <c r="O10" s="16">
        <f>Предпосылки!$G$10*'Cash Flow'!O$30*Предпосылки!$C$14</f>
        <v>14856674.206910368</v>
      </c>
      <c r="P10" s="16">
        <f>Предпосылки!$G$10*'Cash Flow'!P$30*Предпосылки!$C$14</f>
        <v>15086766.948689891</v>
      </c>
      <c r="Q10" s="16">
        <f>Предпосылки!$G$10*'Cash Flow'!Q$30*Предпосылки!$C$14</f>
        <v>15320423.251807727</v>
      </c>
      <c r="R10" s="16">
        <f>Предпосылки!$G$10*'Cash Flow'!R$30*Предпосылки!$C$14</f>
        <v>15557698.306920102</v>
      </c>
      <c r="S10" s="16">
        <f>Предпосылки!$G$10*'Cash Flow'!S$30*Предпосылки!$C$14</f>
        <v>15798648.159448527</v>
      </c>
      <c r="T10" s="16">
        <f>Предпосылки!$G$10*'Cash Flow'!T$30*Предпосылки!$C$14</f>
        <v>16043329.722817987</v>
      </c>
      <c r="U10" s="16">
        <f>Предпосылки!$G$10*'Cash Flow'!U$30*Предпосылки!$C$14</f>
        <v>16291800.791900132</v>
      </c>
      <c r="V10" s="16">
        <f>Предпосылки!$G$10*'Cash Flow'!V$30*Предпосылки!$C$14</f>
        <v>16544120.056664687</v>
      </c>
      <c r="W10" s="16">
        <f>Предпосылки!$G$10*'Cash Flow'!W$30*Предпосылки!$C$14</f>
        <v>16800347.116042279</v>
      </c>
      <c r="X10" s="16">
        <f>Предпосылки!$G$10*'Cash Flow'!X$30*Предпосылки!$C$14</f>
        <v>17060542.492001988</v>
      </c>
      <c r="Y10" s="16">
        <f>Предпосылки!$G$10*'Cash Flow'!Y$30*Предпосылки!$C$14</f>
        <v>17324767.643846869</v>
      </c>
      <c r="Z10" s="16">
        <f>Предпосылки!$G$10*'Cash Flow'!Z$30*Предпосылки!$C$14</f>
        <v>17593084.982730951</v>
      </c>
      <c r="AA10" s="16">
        <f>Предпосылки!$G$10*'Cash Flow'!AA$30*Предпосылки!$C$14</f>
        <v>17865557.886401001</v>
      </c>
      <c r="AB10" s="16">
        <f>Предпосылки!$G$10*'Cash Flow'!AB$30*Предпосылки!$C$14</f>
        <v>18142250.714166638</v>
      </c>
      <c r="AC10" s="16">
        <f>Предпосылки!$G$10*'Cash Flow'!AC$30*Предпосылки!$C$14</f>
        <v>18423228.822102293</v>
      </c>
    </row>
    <row r="11" spans="1:29" ht="17" x14ac:dyDescent="0.2">
      <c r="A11" s="29" t="s">
        <v>24</v>
      </c>
      <c r="B11" s="17">
        <f t="shared" ref="B11:E11" si="1">SUM(B6:B6)</f>
        <v>0</v>
      </c>
      <c r="C11" s="17">
        <f t="shared" si="1"/>
        <v>0</v>
      </c>
      <c r="D11" s="17">
        <f t="shared" si="1"/>
        <v>0</v>
      </c>
      <c r="E11" s="17">
        <f t="shared" si="1"/>
        <v>0</v>
      </c>
      <c r="F11" s="17">
        <f>SUM(F5:F10)</f>
        <v>15792491</v>
      </c>
      <c r="G11" s="17">
        <f>SUM(G5:G10)</f>
        <v>16081293.877475001</v>
      </c>
      <c r="H11" s="17">
        <f t="shared" ref="H11:AC11" si="2">SUM(H5:H10)</f>
        <v>16375939.200964559</v>
      </c>
      <c r="I11" s="17">
        <f t="shared" si="2"/>
        <v>16676559.879065968</v>
      </c>
      <c r="J11" s="17">
        <f t="shared" si="2"/>
        <v>16983292.192873005</v>
      </c>
      <c r="K11" s="17">
        <f t="shared" si="2"/>
        <v>17296275.88891089</v>
      </c>
      <c r="L11" s="17">
        <f t="shared" si="2"/>
        <v>17615654.274771426</v>
      </c>
      <c r="M11" s="17">
        <f t="shared" si="2"/>
        <v>17941574.31752912</v>
      </c>
      <c r="N11" s="17">
        <f t="shared" si="2"/>
        <v>18274186.745021585</v>
      </c>
      <c r="O11" s="17">
        <f t="shared" si="2"/>
        <v>18613646.1500802</v>
      </c>
      <c r="P11" s="17">
        <f t="shared" si="2"/>
        <v>18960111.097799409</v>
      </c>
      <c r="Q11" s="17">
        <f t="shared" si="2"/>
        <v>19313744.235935912</v>
      </c>
      <c r="R11" s="17">
        <f t="shared" si="2"/>
        <v>19674712.408531658</v>
      </c>
      <c r="S11" s="17">
        <f t="shared" si="2"/>
        <v>20043186.772857502</v>
      </c>
      <c r="T11" s="17">
        <f t="shared" si="2"/>
        <v>20419342.919777304</v>
      </c>
      <c r="U11" s="17">
        <f t="shared" si="2"/>
        <v>20803360.99763526</v>
      </c>
      <c r="V11" s="17">
        <f t="shared" si="2"/>
        <v>21195425.839772463</v>
      </c>
      <c r="W11" s="17">
        <f t="shared" si="2"/>
        <v>21595727.095781818</v>
      </c>
      <c r="X11" s="17">
        <f t="shared" si="2"/>
        <v>22004459.366613962</v>
      </c>
      <c r="Y11" s="17">
        <f t="shared" si="2"/>
        <v>22421822.343649946</v>
      </c>
      <c r="Z11" s="17">
        <f t="shared" si="2"/>
        <v>22848020.951860428</v>
      </c>
      <c r="AA11" s="17">
        <f t="shared" si="2"/>
        <v>23283265.497174263</v>
      </c>
      <c r="AB11" s="17">
        <f t="shared" si="2"/>
        <v>23727771.818183601</v>
      </c>
      <c r="AC11" s="17">
        <f t="shared" si="2"/>
        <v>24181761.442316182</v>
      </c>
    </row>
    <row r="12" spans="1:29" x14ac:dyDescent="0.2">
      <c r="A12" s="30" t="str">
        <f>A38</f>
        <v>Капитальные затраты (CapEx)</v>
      </c>
      <c r="B12" s="31">
        <f>Расходники!C2*1000000</f>
        <v>9000000</v>
      </c>
      <c r="C12" s="31"/>
      <c r="D12" s="31"/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1">
        <f>Расходники!C2*1000000</f>
        <v>9000000</v>
      </c>
      <c r="S12" s="31"/>
      <c r="T12" s="31"/>
      <c r="U12" s="31"/>
      <c r="V12" s="32"/>
      <c r="W12" s="32"/>
      <c r="X12" s="32"/>
      <c r="Y12" s="32"/>
      <c r="Z12" s="32"/>
      <c r="AA12" s="32"/>
      <c r="AB12" s="32"/>
      <c r="AC12" s="32"/>
    </row>
    <row r="13" spans="1:29" x14ac:dyDescent="0.2">
      <c r="A13" s="85" t="str">
        <f>A39</f>
        <v>Операционные расходы (OpEx)</v>
      </c>
      <c r="B13" s="19">
        <f>Расходники!C11</f>
        <v>7245000</v>
      </c>
      <c r="C13" s="19">
        <f t="shared" ref="C13" si="3">B13</f>
        <v>7245000</v>
      </c>
      <c r="D13" s="19">
        <f t="shared" ref="D13" si="4">C13</f>
        <v>7245000</v>
      </c>
      <c r="E13" s="19">
        <f t="shared" ref="E13" si="5">D13</f>
        <v>7245000</v>
      </c>
      <c r="F13" s="19">
        <f>E13</f>
        <v>7245000</v>
      </c>
      <c r="G13" s="19">
        <f t="shared" ref="G13" si="6">F13</f>
        <v>7245000</v>
      </c>
      <c r="H13" s="19">
        <f t="shared" ref="H13" si="7">G13</f>
        <v>7245000</v>
      </c>
      <c r="I13" s="19">
        <f t="shared" ref="I13" si="8">H13</f>
        <v>7245000</v>
      </c>
      <c r="J13" s="19">
        <f t="shared" ref="J13" si="9">I13</f>
        <v>7245000</v>
      </c>
      <c r="K13" s="19">
        <f t="shared" ref="K13" si="10">J13</f>
        <v>7245000</v>
      </c>
      <c r="L13" s="19">
        <f t="shared" ref="L13" si="11">K13</f>
        <v>7245000</v>
      </c>
      <c r="M13" s="19">
        <f t="shared" ref="M13" si="12">L13</f>
        <v>7245000</v>
      </c>
      <c r="N13" s="19">
        <f t="shared" ref="N13" si="13">M13</f>
        <v>7245000</v>
      </c>
      <c r="O13" s="19">
        <f t="shared" ref="O13" si="14">N13</f>
        <v>7245000</v>
      </c>
      <c r="P13" s="19">
        <f t="shared" ref="P13" si="15">O13</f>
        <v>7245000</v>
      </c>
      <c r="Q13" s="19">
        <f t="shared" ref="Q13" si="16">P13</f>
        <v>7245000</v>
      </c>
      <c r="R13" s="19">
        <f t="shared" ref="R13" si="17">Q13</f>
        <v>7245000</v>
      </c>
      <c r="S13" s="19">
        <f t="shared" ref="S13" si="18">R13</f>
        <v>7245000</v>
      </c>
      <c r="T13" s="19">
        <f t="shared" ref="T13" si="19">S13</f>
        <v>7245000</v>
      </c>
      <c r="U13" s="19">
        <f t="shared" ref="U13" si="20">T13</f>
        <v>7245000</v>
      </c>
      <c r="V13" s="19">
        <f t="shared" ref="V13" si="21">U13</f>
        <v>7245000</v>
      </c>
      <c r="W13" s="19">
        <f t="shared" ref="W13" si="22">V13</f>
        <v>7245000</v>
      </c>
      <c r="X13" s="19">
        <f t="shared" ref="X13" si="23">W13</f>
        <v>7245000</v>
      </c>
      <c r="Y13" s="19">
        <f t="shared" ref="Y13" si="24">X13</f>
        <v>7245000</v>
      </c>
      <c r="Z13" s="19">
        <f t="shared" ref="Z13" si="25">Y13</f>
        <v>7245000</v>
      </c>
      <c r="AA13" s="19">
        <f t="shared" ref="AA13" si="26">Z13</f>
        <v>7245000</v>
      </c>
      <c r="AB13" s="19">
        <f t="shared" ref="AB13" si="27">AA13</f>
        <v>7245000</v>
      </c>
      <c r="AC13" s="19">
        <f t="shared" ref="AC13" si="28">AB13</f>
        <v>7245000</v>
      </c>
    </row>
    <row r="14" spans="1:29" x14ac:dyDescent="0.2">
      <c r="A14" s="85" t="str">
        <f>Расходники!A30</f>
        <v>Статья маркетинговых расходов</v>
      </c>
      <c r="B14" s="19"/>
      <c r="C14" s="19"/>
      <c r="D14" s="19"/>
      <c r="E14" s="19">
        <f>Расходники!$C$30</f>
        <v>2509500</v>
      </c>
      <c r="F14" s="19">
        <f>Расходники!$C$30*(1-Предпосылки!$C$16/12)</f>
        <v>2446762.5</v>
      </c>
      <c r="G14" s="19">
        <f>Расходники!$C$30*(1-Предпосылки!$C$16/12)</f>
        <v>2446762.5</v>
      </c>
      <c r="H14" s="19">
        <f>Расходники!$C$30*(1-Предпосылки!$C$16/12)</f>
        <v>2446762.5</v>
      </c>
      <c r="I14" s="19">
        <f>Расходники!$C$30*(1-Предпосылки!$C$16/12)</f>
        <v>2446762.5</v>
      </c>
      <c r="J14" s="19">
        <f>Расходники!$C$30*(1-Предпосылки!$C$16/12)</f>
        <v>2446762.5</v>
      </c>
      <c r="K14" s="19">
        <f>Расходники!$C$30*(1-Предпосылки!$C$16/12)</f>
        <v>2446762.5</v>
      </c>
      <c r="L14" s="19">
        <f>Расходники!$C$30*(1-Предпосылки!$C$16/12)</f>
        <v>2446762.5</v>
      </c>
      <c r="M14" s="19">
        <f>Расходники!$C$30*(1-Предпосылки!$C$16/12)</f>
        <v>2446762.5</v>
      </c>
      <c r="N14" s="19">
        <f>Расходники!$C$30*(1-Предпосылки!$C$16/12)</f>
        <v>2446762.5</v>
      </c>
      <c r="O14" s="19">
        <f>Расходники!$C$30*(1-Предпосылки!$C$16/12)</f>
        <v>2446762.5</v>
      </c>
      <c r="P14" s="19">
        <f>Расходники!$C$30*(1-Предпосылки!$C$16/12)</f>
        <v>2446762.5</v>
      </c>
      <c r="Q14" s="19">
        <f>Расходники!$C$30*(1-Предпосылки!$C$16/12)</f>
        <v>2446762.5</v>
      </c>
      <c r="R14" s="19">
        <f>Расходники!$C$30*(1-Предпосылки!$C$16/12)</f>
        <v>2446762.5</v>
      </c>
      <c r="S14" s="19">
        <f>Расходники!$C$30*(1-Предпосылки!$C$16/12)</f>
        <v>2446762.5</v>
      </c>
      <c r="T14" s="19">
        <f>Расходники!$C$30*(1-Предпосылки!$C$16/12)</f>
        <v>2446762.5</v>
      </c>
      <c r="U14" s="19">
        <f>Расходники!$C$30*(1-Предпосылки!$C$16/12)</f>
        <v>2446762.5</v>
      </c>
      <c r="V14" s="19">
        <f>Расходники!$C$30*(1-Предпосылки!$C$16/12)</f>
        <v>2446762.5</v>
      </c>
      <c r="W14" s="19">
        <f>Расходники!$C$30*(1-Предпосылки!$C$16/12)</f>
        <v>2446762.5</v>
      </c>
      <c r="X14" s="19">
        <f>Расходники!$C$30*(1-Предпосылки!$C$16/12)</f>
        <v>2446762.5</v>
      </c>
      <c r="Y14" s="19">
        <f>Расходники!$C$30*(1-Предпосылки!$C$16/12)</f>
        <v>2446762.5</v>
      </c>
      <c r="Z14" s="19">
        <f>Расходники!$C$30*(1-Предпосылки!$C$16/12)</f>
        <v>2446762.5</v>
      </c>
      <c r="AA14" s="19">
        <f>Расходники!$C$30*(1-Предпосылки!$C$16/12)</f>
        <v>2446762.5</v>
      </c>
      <c r="AB14" s="19">
        <f>Расходники!$C$30*(1-Предпосылки!$C$16/12)</f>
        <v>2446762.5</v>
      </c>
      <c r="AC14" s="19">
        <f>Расходники!$C$30*(1-Предпосылки!$C$16/12)</f>
        <v>2446762.5</v>
      </c>
    </row>
    <row r="15" spans="1:29" x14ac:dyDescent="0.2">
      <c r="A15" s="34" t="s">
        <v>66</v>
      </c>
      <c r="B15" s="19">
        <f>B11-B12-B13</f>
        <v>-16245000</v>
      </c>
      <c r="C15" s="19">
        <f>C11-C12-C13</f>
        <v>-7245000</v>
      </c>
      <c r="D15" s="19">
        <f>D11-D12-D13</f>
        <v>-7245000</v>
      </c>
      <c r="E15" s="19">
        <f>E11-E12-E13</f>
        <v>-7245000</v>
      </c>
      <c r="F15" s="19">
        <f>F11-F12-F13-F14</f>
        <v>6100728.5</v>
      </c>
      <c r="G15" s="19">
        <f t="shared" ref="G15:AC15" si="29">G11-G12-G13-G14</f>
        <v>6389531.3774750009</v>
      </c>
      <c r="H15" s="19">
        <f t="shared" si="29"/>
        <v>6684176.7009645589</v>
      </c>
      <c r="I15" s="19">
        <f t="shared" si="29"/>
        <v>6984797.3790659681</v>
      </c>
      <c r="J15" s="19">
        <f t="shared" si="29"/>
        <v>7291529.6928730048</v>
      </c>
      <c r="K15" s="19">
        <f t="shared" si="29"/>
        <v>7604513.3889108896</v>
      </c>
      <c r="L15" s="19">
        <f t="shared" si="29"/>
        <v>7923891.7747714259</v>
      </c>
      <c r="M15" s="19">
        <f t="shared" si="29"/>
        <v>8249811.8175291196</v>
      </c>
      <c r="N15" s="19">
        <f t="shared" si="29"/>
        <v>8582424.2450215854</v>
      </c>
      <c r="O15" s="19">
        <f t="shared" si="29"/>
        <v>8921883.6500802003</v>
      </c>
      <c r="P15" s="19">
        <f t="shared" si="29"/>
        <v>9268348.5977994092</v>
      </c>
      <c r="Q15" s="19">
        <f t="shared" si="29"/>
        <v>9621981.7359359115</v>
      </c>
      <c r="R15" s="19">
        <f t="shared" si="29"/>
        <v>982949.90853165835</v>
      </c>
      <c r="S15" s="19">
        <f t="shared" si="29"/>
        <v>10351424.272857502</v>
      </c>
      <c r="T15" s="19">
        <f t="shared" si="29"/>
        <v>10727580.419777304</v>
      </c>
      <c r="U15" s="19">
        <f t="shared" si="29"/>
        <v>11111598.49763526</v>
      </c>
      <c r="V15" s="19">
        <f t="shared" si="29"/>
        <v>11503663.339772463</v>
      </c>
      <c r="W15" s="19">
        <f t="shared" si="29"/>
        <v>11903964.595781818</v>
      </c>
      <c r="X15" s="19">
        <f t="shared" si="29"/>
        <v>12312696.866613962</v>
      </c>
      <c r="Y15" s="19">
        <f t="shared" si="29"/>
        <v>12730059.843649946</v>
      </c>
      <c r="Z15" s="19">
        <f t="shared" si="29"/>
        <v>13156258.451860428</v>
      </c>
      <c r="AA15" s="19">
        <f t="shared" si="29"/>
        <v>13591502.997174263</v>
      </c>
      <c r="AB15" s="19">
        <f t="shared" si="29"/>
        <v>14036009.318183601</v>
      </c>
      <c r="AC15" s="19">
        <f t="shared" si="29"/>
        <v>14489998.942316182</v>
      </c>
    </row>
    <row r="16" spans="1:29" x14ac:dyDescent="0.2">
      <c r="A16" s="35" t="s">
        <v>16</v>
      </c>
      <c r="B16" s="33">
        <f>IF(B15&gt;0,B15*20%,0)</f>
        <v>0</v>
      </c>
      <c r="C16" s="33">
        <f>IF(C15&gt;0,C15*20%,0)</f>
        <v>0</v>
      </c>
      <c r="D16" s="33">
        <f>IF(D15&gt;0,D15*20%,0)</f>
        <v>0</v>
      </c>
      <c r="E16" s="33">
        <f>IF(E15&gt;0,E15*20%,0)</f>
        <v>0</v>
      </c>
      <c r="F16" s="33">
        <f>IF(F15&gt;0,F15*20%,0)</f>
        <v>1220145.7</v>
      </c>
      <c r="G16" s="33">
        <f>IF(G15&gt;0,G15*20%,0)</f>
        <v>1277906.2754950002</v>
      </c>
      <c r="H16" s="33">
        <f>IF(H15&gt;0,H15*20%,0)</f>
        <v>1336835.3401929119</v>
      </c>
      <c r="I16" s="33">
        <f>IF(I15&gt;0,I15*20%,0)</f>
        <v>1396959.4758131937</v>
      </c>
      <c r="J16" s="33">
        <f>IF(J15&gt;0,J15*20%,0)</f>
        <v>1458305.938574601</v>
      </c>
      <c r="K16" s="33">
        <f>IF(K15&gt;0,K15*20%,0)</f>
        <v>1520902.6777821779</v>
      </c>
      <c r="L16" s="33">
        <f>IF(L15&gt;0,L15*20%,0)</f>
        <v>1584778.3549542853</v>
      </c>
      <c r="M16" s="33">
        <f>IF(M15&gt;0,M15*20%,0)</f>
        <v>1649962.363505824</v>
      </c>
      <c r="N16" s="33">
        <f>IF(N15&gt;0,N15*20%,0)</f>
        <v>1716484.8490043171</v>
      </c>
      <c r="O16" s="33">
        <f>IF(O15&gt;0,O15*20%,0)</f>
        <v>1784376.7300160402</v>
      </c>
      <c r="P16" s="33">
        <f>IF(P15&gt;0,P15*20%,0)</f>
        <v>1853669.7195598818</v>
      </c>
      <c r="Q16" s="33">
        <f>IF(Q15&gt;0,Q15*20%,0)</f>
        <v>1924396.3471871824</v>
      </c>
      <c r="R16" s="33">
        <f>IF(R15&gt;0,R15*20%,0)</f>
        <v>196589.98170633169</v>
      </c>
      <c r="S16" s="33">
        <f>IF(S15&gt;0,S15*20%,0)</f>
        <v>2070284.8545715006</v>
      </c>
      <c r="T16" s="33">
        <f>IF(T15&gt;0,T15*20%,0)</f>
        <v>2145516.0839554607</v>
      </c>
      <c r="U16" s="33">
        <f>IF(U15&gt;0,U15*20%,0)</f>
        <v>2222319.6995270522</v>
      </c>
      <c r="V16" s="33">
        <f>IF(V15&gt;0,V15*20%,0)</f>
        <v>2300732.6679544928</v>
      </c>
      <c r="W16" s="33">
        <f>IF(W15&gt;0,W15*20%,0)</f>
        <v>2380792.9191563637</v>
      </c>
      <c r="X16" s="33">
        <f>IF(X15&gt;0,X15*20%,0)</f>
        <v>2462539.3733227924</v>
      </c>
      <c r="Y16" s="33">
        <f>IF(Y15&gt;0,Y15*20%,0)</f>
        <v>2546011.9687299896</v>
      </c>
      <c r="Z16" s="33">
        <f>IF(Z15&gt;0,Z15*20%,0)</f>
        <v>2631251.6903720857</v>
      </c>
      <c r="AA16" s="33">
        <f>IF(AA15&gt;0,AA15*20%,0)</f>
        <v>2718300.5994348526</v>
      </c>
      <c r="AB16" s="33">
        <f>IF(AB15&gt;0,AB15*20%,0)</f>
        <v>2807201.8636367205</v>
      </c>
      <c r="AC16" s="33">
        <f>IF(AC15&gt;0,AC15*20%,0)</f>
        <v>2897999.7884632368</v>
      </c>
    </row>
    <row r="17" spans="1:31" x14ac:dyDescent="0.2">
      <c r="A17" s="36" t="s">
        <v>62</v>
      </c>
      <c r="B17" s="19">
        <f>SUM(B15:B16)</f>
        <v>-16245000</v>
      </c>
      <c r="C17" s="19">
        <f>SUM(C15:C16)</f>
        <v>-7245000</v>
      </c>
      <c r="D17" s="19">
        <f>SUM(D15:D16)</f>
        <v>-7245000</v>
      </c>
      <c r="E17" s="19">
        <f>SUM(E15:E16)</f>
        <v>-7245000</v>
      </c>
      <c r="F17" s="19">
        <f>SUM(F15:F16)</f>
        <v>7320874.2000000002</v>
      </c>
      <c r="G17" s="19">
        <f>SUM(G15:G16)</f>
        <v>7667437.6529700011</v>
      </c>
      <c r="H17" s="19">
        <f>SUM(H15:H16)</f>
        <v>8021012.041157471</v>
      </c>
      <c r="I17" s="19">
        <f>SUM(I15:I16)</f>
        <v>8381756.8548791613</v>
      </c>
      <c r="J17" s="19">
        <f>SUM(J15:J16)</f>
        <v>8749835.6314476058</v>
      </c>
      <c r="K17" s="19">
        <f>SUM(K15:K16)</f>
        <v>9125416.0666930676</v>
      </c>
      <c r="L17" s="19">
        <f>SUM(L15:L16)</f>
        <v>9508670.1297257114</v>
      </c>
      <c r="M17" s="19">
        <f>SUM(M15:M16)</f>
        <v>9899774.1810349431</v>
      </c>
      <c r="N17" s="19">
        <f>SUM(N15:N16)</f>
        <v>10298909.094025902</v>
      </c>
      <c r="O17" s="19">
        <f>SUM(O15:O16)</f>
        <v>10706260.38009624</v>
      </c>
      <c r="P17" s="19">
        <f>SUM(P15:P16)</f>
        <v>11122018.317359291</v>
      </c>
      <c r="Q17" s="19">
        <f>SUM(Q15:Q16)</f>
        <v>11546378.083123093</v>
      </c>
      <c r="R17" s="19">
        <f>SUM(R15:R16)</f>
        <v>1179539.8902379901</v>
      </c>
      <c r="S17" s="19">
        <f>SUM(S15:S16)</f>
        <v>12421709.127429003</v>
      </c>
      <c r="T17" s="19">
        <f>SUM(T15:T16)</f>
        <v>12873096.503732765</v>
      </c>
      <c r="U17" s="19">
        <f>SUM(U15:U16)</f>
        <v>13333918.197162312</v>
      </c>
      <c r="V17" s="19">
        <f>SUM(V15:V16)</f>
        <v>13804396.007726956</v>
      </c>
      <c r="W17" s="19">
        <f>SUM(W15:W16)</f>
        <v>14284757.514938181</v>
      </c>
      <c r="X17" s="19">
        <f>SUM(X15:X16)</f>
        <v>14775236.239936754</v>
      </c>
      <c r="Y17" s="19">
        <f>SUM(Y15:Y16)</f>
        <v>15276071.812379936</v>
      </c>
      <c r="Z17" s="19">
        <f>SUM(Z15:Z16)</f>
        <v>15787510.142232513</v>
      </c>
      <c r="AA17" s="19">
        <f>SUM(AA15:AA16)</f>
        <v>16309803.596609116</v>
      </c>
      <c r="AB17" s="19">
        <f>SUM(AB15:AB16)</f>
        <v>16843211.181820322</v>
      </c>
      <c r="AC17" s="19">
        <f>SUM(AC15:AC16)</f>
        <v>17387998.730779417</v>
      </c>
    </row>
    <row r="18" spans="1:31" x14ac:dyDescent="0.2">
      <c r="A18" s="4" t="s">
        <v>57</v>
      </c>
      <c r="B18" s="19">
        <f>IF(SUM(B15:B16)&lt;0,SUM(B15:B16),0)</f>
        <v>-16245000</v>
      </c>
      <c r="C18" s="19">
        <f>IF(SUM(C15:C16)&lt;0,SUM(C15:C16),0)</f>
        <v>-7245000</v>
      </c>
      <c r="D18" s="19">
        <f>IF(SUM(D15:D16)&lt;0,SUM(D15:D16),0)</f>
        <v>-7245000</v>
      </c>
      <c r="E18" s="19">
        <f>IF(SUM(E15:E16)&lt;0,SUM(E15:E16),0)</f>
        <v>-7245000</v>
      </c>
      <c r="F18" s="19">
        <f>IF(SUM(F15:F16)&lt;0,SUM(F15:F16),SUM(F15:F16)*1/(1+Предпосылки!$E$22/12)^F3)</f>
        <v>7228422.9688289277</v>
      </c>
      <c r="G18" s="19">
        <f>IF(SUM(G15:G16)&lt;0,SUM(G15:G16),SUM(G15:G16)*1/(1+Предпосылки!$E$22/12)^G3)</f>
        <v>7475004.8621254005</v>
      </c>
      <c r="H18" s="19">
        <f>IF(SUM(H15:H16)&lt;0,SUM(H15:H16),SUM(H15:H16)*1/(1+Предпосылки!$E$22/12)^H3)</f>
        <v>7720954.7581573278</v>
      </c>
      <c r="I18" s="19">
        <f>IF(SUM(I15:I16)&lt;0,SUM(I15:I16),SUM(I15:I16)*1/(1+Предпосылки!$E$22/12)^I3)</f>
        <v>7966315.6550180241</v>
      </c>
      <c r="J18" s="19">
        <f>IF(SUM(J15:J16)&lt;0,SUM(J15:J16),SUM(J15:J16)*1/(1+Предпосылки!$E$22/12)^J3)</f>
        <v>8211130.6111158188</v>
      </c>
      <c r="K18" s="19">
        <f>IF(SUM(K15:K16)&lt;0,SUM(K15:K16),SUM(K15:K16)*1/(1+Предпосылки!$E$22/12)^K3)</f>
        <v>8455442.7551773228</v>
      </c>
      <c r="L18" s="19">
        <f>IF(SUM(L15:L16)&lt;0,SUM(L15:L16),SUM(L15:L16)*1/(1+Предпосылки!$E$22/12)^L3)</f>
        <v>8699295.2963175718</v>
      </c>
      <c r="M18" s="19">
        <f>IF(SUM(M15:M16)&lt;0,SUM(M15:M16),SUM(M15:M16)*1/(1+Предпосылки!$E$22/12)^M3)</f>
        <v>8942731.5341795329</v>
      </c>
      <c r="N18" s="19">
        <f>IF(SUM(N15:N16)&lt;0,SUM(N15:N16),SUM(N15:N16)*1/(1+Предпосылки!$E$22/12)^N3)</f>
        <v>9185794.8691456616</v>
      </c>
      <c r="O18" s="19">
        <f>IF(SUM(O15:O16)&lt;0,SUM(O15:O16),SUM(O15:O16)*1/(1+Предпосылки!$E$22/12)^O3)</f>
        <v>9428528.8126242254</v>
      </c>
      <c r="P18" s="19">
        <f>IF(SUM(P15:P16)&lt;0,SUM(P15:P16),SUM(P15:P16)*1/(1+Предпосылки!$E$22/12)^P3)</f>
        <v>9670976.9974130839</v>
      </c>
      <c r="Q18" s="19">
        <f>IF(SUM(Q15:Q16)&lt;0,SUM(Q15:Q16),SUM(Q15:Q16)*1/(1+Предпосылки!$E$22/12)^Q3)</f>
        <v>9913183.1881436408</v>
      </c>
      <c r="R18" s="19">
        <f>IF(SUM(R15:R16)&lt;0,SUM(R15:R16),SUM(R15:R16)*1/(1+Предпосылки!$E$23/12)^R3)</f>
        <v>989294.08058492653</v>
      </c>
      <c r="S18" s="19">
        <f>IF(SUM(S15:S16)&lt;0,SUM(S15:S16),SUM(S15:S16)*1/(1+Предпосылки!$E$23/12)^S3)</f>
        <v>10278226.715862146</v>
      </c>
      <c r="T18" s="19">
        <f>IF(SUM(T15:T16)&lt;0,SUM(T15:T16),SUM(T15:T16)*1/(1+Предпосылки!$E$23/12)^T3)</f>
        <v>10508577.282740051</v>
      </c>
      <c r="U18" s="19">
        <f>IF(SUM(U15:U16)&lt;0,SUM(U15:U16),SUM(U15:U16)*1/(1+Предпосылки!$E$23/12)^U3)</f>
        <v>10738478.297865571</v>
      </c>
      <c r="V18" s="19">
        <f>IF(SUM(V15:V16)&lt;0,SUM(V15:V16),SUM(V15:V16)*1/(1+Предпосылки!$E$23/12)^V3)</f>
        <v>10967974.362470448</v>
      </c>
      <c r="W18" s="19">
        <f>IF(SUM(W15:W16)&lt;0,SUM(W15:W16),SUM(W15:W16)*1/(1+Предпосылки!$E$23/12)^W3)</f>
        <v>11197110.126138985</v>
      </c>
      <c r="X18" s="19">
        <f>IF(SUM(X15:X16)&lt;0,SUM(X15:X16),SUM(X15:X16)*1/(1+Предпосылки!$E$23/12)^X3)</f>
        <v>11425930.29722474</v>
      </c>
      <c r="Y18" s="19">
        <f>IF(SUM(Y15:Y16)&lt;0,SUM(Y15:Y16),SUM(Y15:Y16)*1/(1+Предпосылки!$E$23/12)^Y3)</f>
        <v>11654479.653316498</v>
      </c>
      <c r="Z18" s="19">
        <f>IF(SUM(Z15:Z16)&lt;0,SUM(Z15:Z16),SUM(Z15:Z16)*1/(1+Предпосылки!$E$24/12)^Z3)</f>
        <v>11882803.051756386</v>
      </c>
      <c r="AA18" s="19">
        <f>IF(SUM(AA15:AA16)&lt;0,SUM(AA15:AA16),SUM(AA15:AA16)*1/(1+Предпосылки!$E$24/12)^AA3)</f>
        <v>12110945.440212496</v>
      </c>
      <c r="AB18" s="19">
        <f>IF(SUM(AB15:AB16)&lt;0,SUM(AB15:AB16),SUM(AB15:AB16)*1/(1+Предпосылки!$E$24/12)^AB3)</f>
        <v>12338951.867308779</v>
      </c>
      <c r="AC18" s="19">
        <f>IF(SUM(AC15:AC16)&lt;0,SUM(AC15:AC16),SUM(AC15:AC16)*1/(1+Предпосылки!$E$24/12)^AC3)</f>
        <v>12566867.493314816</v>
      </c>
    </row>
    <row r="19" spans="1:31" x14ac:dyDescent="0.2">
      <c r="E19" s="18"/>
    </row>
    <row r="20" spans="1:31" x14ac:dyDescent="0.2">
      <c r="A20" s="63" t="s">
        <v>56</v>
      </c>
      <c r="B20" s="64">
        <f>SUM(B18:AC18)</f>
        <v>191577420.97704235</v>
      </c>
      <c r="E20" s="19"/>
      <c r="M20" s="19"/>
    </row>
    <row r="21" spans="1:31" x14ac:dyDescent="0.2">
      <c r="A21" s="63" t="s">
        <v>59</v>
      </c>
      <c r="B21" s="64">
        <v>5</v>
      </c>
      <c r="C21" s="19"/>
    </row>
    <row r="22" spans="1:31" x14ac:dyDescent="0.2">
      <c r="A22" s="62" t="s">
        <v>63</v>
      </c>
      <c r="B22" s="64">
        <f>SUM(B13:AC13)</f>
        <v>202860000</v>
      </c>
    </row>
    <row r="23" spans="1:31" x14ac:dyDescent="0.2">
      <c r="A23" s="62" t="s">
        <v>125</v>
      </c>
      <c r="B23" s="84">
        <f>(SUM(B17:AC17)-SUM(B12:AC13))/SUM(B12:AC13)*100%</f>
        <v>8.0528803665207732E-2</v>
      </c>
    </row>
    <row r="24" spans="1:31" x14ac:dyDescent="0.2">
      <c r="A24" s="62" t="s">
        <v>64</v>
      </c>
      <c r="B24" s="57">
        <f>IRR(B17:AC17)</f>
        <v>0.17165443137440861</v>
      </c>
    </row>
    <row r="25" spans="1:31" x14ac:dyDescent="0.2">
      <c r="A25" s="62" t="s">
        <v>163</v>
      </c>
      <c r="B25" s="101">
        <f>(F4^AC3+G4^AB3+H4^AA3+I4^I3+J4^Y3+K4^X3+L4^W3+M4^V3+N4^U3+O4^T3+P4^S3+Q4^R3+R4^Q3+S4^P3+T4^O3+U4^N3+V4^M3+W4^L3+X4^J3+Y4^I3+Z4^H3+AA4^G3+AB4^F3+AC4^Z3+AC3)*Предпосылки!$E$2/SUM('Cash Flow'!B12:AC13)</f>
        <v>8.3393404151709838</v>
      </c>
    </row>
    <row r="27" spans="1:31" x14ac:dyDescent="0.2">
      <c r="A27" s="105" t="s">
        <v>58</v>
      </c>
      <c r="B27" s="106"/>
      <c r="C27" s="106"/>
      <c r="D27" s="106"/>
      <c r="E27" s="106"/>
      <c r="F27" s="106"/>
      <c r="G27" s="106"/>
      <c r="H27" s="107"/>
      <c r="I27" s="23"/>
      <c r="J27" s="23"/>
      <c r="K27" s="23"/>
      <c r="L27" s="23"/>
      <c r="M27" s="24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31" x14ac:dyDescent="0.2">
      <c r="A28" s="22"/>
      <c r="B28" s="25">
        <v>46023</v>
      </c>
      <c r="C28" s="25">
        <v>46054</v>
      </c>
      <c r="D28" s="25">
        <v>46082</v>
      </c>
      <c r="E28" s="25">
        <v>46113</v>
      </c>
      <c r="F28" s="25">
        <v>46143</v>
      </c>
      <c r="G28" s="25">
        <v>46174</v>
      </c>
      <c r="H28" s="25">
        <v>46204</v>
      </c>
      <c r="I28" s="25">
        <v>46235</v>
      </c>
      <c r="J28" s="25">
        <v>46266</v>
      </c>
      <c r="K28" s="25">
        <v>46296</v>
      </c>
      <c r="L28" s="25">
        <v>46327</v>
      </c>
      <c r="M28" s="25">
        <v>46357</v>
      </c>
      <c r="N28" s="25">
        <v>46388</v>
      </c>
      <c r="O28" s="25">
        <v>46419</v>
      </c>
      <c r="P28" s="25">
        <v>46447</v>
      </c>
      <c r="Q28" s="25">
        <v>46478</v>
      </c>
      <c r="R28" s="25">
        <v>46508</v>
      </c>
      <c r="S28" s="25">
        <v>46539</v>
      </c>
      <c r="T28" s="25">
        <v>46569</v>
      </c>
      <c r="U28" s="25">
        <v>46600</v>
      </c>
      <c r="V28" s="25">
        <v>46631</v>
      </c>
      <c r="W28" s="25">
        <v>46661</v>
      </c>
      <c r="X28" s="25">
        <v>46692</v>
      </c>
      <c r="Y28" s="25">
        <v>46722</v>
      </c>
      <c r="Z28" s="25">
        <v>46753</v>
      </c>
      <c r="AA28" s="25">
        <v>46784</v>
      </c>
      <c r="AB28" s="25">
        <v>46813</v>
      </c>
      <c r="AC28" s="25">
        <v>46844</v>
      </c>
    </row>
    <row r="29" spans="1:31" ht="17" x14ac:dyDescent="0.2">
      <c r="A29" s="26" t="s">
        <v>15</v>
      </c>
      <c r="B29" s="27"/>
      <c r="C29" s="27"/>
      <c r="D29" s="27"/>
      <c r="E29" s="27"/>
      <c r="F29" s="27">
        <v>1</v>
      </c>
      <c r="G29" s="27">
        <v>2</v>
      </c>
      <c r="H29" s="27">
        <v>3</v>
      </c>
      <c r="I29" s="27">
        <v>4</v>
      </c>
      <c r="J29" s="27">
        <v>5</v>
      </c>
      <c r="K29" s="93">
        <v>6</v>
      </c>
      <c r="L29" s="27">
        <v>7</v>
      </c>
      <c r="M29" s="27">
        <v>8</v>
      </c>
      <c r="N29" s="93">
        <v>9</v>
      </c>
      <c r="O29" s="27">
        <v>10</v>
      </c>
      <c r="P29" s="27">
        <v>11</v>
      </c>
      <c r="Q29" s="27">
        <v>12</v>
      </c>
      <c r="R29" s="93">
        <v>13</v>
      </c>
      <c r="S29" s="27">
        <v>14</v>
      </c>
      <c r="T29" s="27">
        <v>15</v>
      </c>
      <c r="U29" s="27">
        <v>16</v>
      </c>
      <c r="V29" s="27">
        <v>17</v>
      </c>
      <c r="W29" s="93">
        <v>18</v>
      </c>
      <c r="X29" s="27">
        <v>19</v>
      </c>
      <c r="Y29" s="27">
        <v>20</v>
      </c>
      <c r="Z29" s="27">
        <v>21</v>
      </c>
      <c r="AA29" s="27">
        <v>22</v>
      </c>
      <c r="AB29" s="27">
        <v>23</v>
      </c>
      <c r="AC29" s="27">
        <v>24</v>
      </c>
    </row>
    <row r="30" spans="1:31" ht="17" x14ac:dyDescent="0.2">
      <c r="A30" s="26" t="s">
        <v>123</v>
      </c>
      <c r="B30" s="28">
        <v>0</v>
      </c>
      <c r="C30" s="28">
        <v>0</v>
      </c>
      <c r="D30" s="28">
        <v>0</v>
      </c>
      <c r="E30" s="28">
        <v>0</v>
      </c>
      <c r="F30" s="94">
        <v>0.05</v>
      </c>
      <c r="G30" s="94">
        <f>F30*(1+Предпосылки!$C$18/20)</f>
        <v>5.077437500000001E-2</v>
      </c>
      <c r="H30" s="94">
        <f>G30*(1+Предпосылки!$C$18/20)</f>
        <v>5.1560743132812517E-2</v>
      </c>
      <c r="I30" s="94">
        <f>H30*(1+Предпосылки!$C$18/20)</f>
        <v>5.2359290142081953E-2</v>
      </c>
      <c r="J30" s="94">
        <f>I30*(1+Предпосылки!$C$18/20)</f>
        <v>5.317020464815745E-2</v>
      </c>
      <c r="K30" s="94">
        <f>J30*(1+Предпосылки!$C$18/20)</f>
        <v>5.3993678192645791E-2</v>
      </c>
      <c r="L30" s="94">
        <f>K30*(1+Предпосылки!$C$18/20)</f>
        <v>5.4829905283654397E-2</v>
      </c>
      <c r="M30" s="94">
        <f>L30*(1+Предпосылки!$C$18/20)</f>
        <v>5.5679083441735E-2</v>
      </c>
      <c r="N30" s="94">
        <f>M30*(1+Предпосылки!$C$18/20)</f>
        <v>5.6541413246538878E-2</v>
      </c>
      <c r="O30" s="94">
        <f>N30*(1+Предпосылки!$C$18/20)</f>
        <v>5.7417098384194655E-2</v>
      </c>
      <c r="P30" s="94">
        <f>O30*(1+Предпосылки!$C$18/20)</f>
        <v>5.8306345695419877E-2</v>
      </c>
      <c r="Q30" s="94">
        <f>P30*(1+Предпосылки!$C$18/20)</f>
        <v>5.9209365224377697E-2</v>
      </c>
      <c r="R30" s="94">
        <f>Q30*(1+Предпосылки!$C$18/20)</f>
        <v>6.012637026829025E-2</v>
      </c>
      <c r="S30" s="94">
        <f>R30*(1+Предпосылки!$C$18/20)</f>
        <v>6.1057577427820399E-2</v>
      </c>
      <c r="T30" s="94">
        <f>S30*(1+Предпосылки!$C$18/20)</f>
        <v>6.2003206658233771E-2</v>
      </c>
      <c r="U30" s="94">
        <f>T30*(1+Предпосылки!$C$18/20)</f>
        <v>6.2963481321353168E-2</v>
      </c>
      <c r="V30" s="94">
        <f>U30*(1+Предпосылки!$C$18/20)</f>
        <v>6.3938628238317627E-2</v>
      </c>
      <c r="W30" s="94">
        <f>V30*(1+Предпосылки!$C$18/20)</f>
        <v>6.4928877743158572E-2</v>
      </c>
      <c r="X30" s="94">
        <f>W30*(1+Предпосылки!$C$18/20)</f>
        <v>6.5934463737205753E-2</v>
      </c>
      <c r="Y30" s="94">
        <f>X30*(1+Предпосылки!$C$18/20)</f>
        <v>6.6955623744335738E-2</v>
      </c>
      <c r="Z30" s="94">
        <f>Y30*(1+Предпосылки!$C$18/20)</f>
        <v>6.7992598967076143E-2</v>
      </c>
      <c r="AA30" s="94">
        <f>Z30*(1+Предпосылки!$C$18/20)</f>
        <v>6.9045634343578743E-2</v>
      </c>
      <c r="AB30" s="94">
        <f>AA30*(1+Предпосылки!$C$18/20)</f>
        <v>7.0114978605474929E-2</v>
      </c>
      <c r="AC30" s="94">
        <f>AB30*(1+Предпосылки!$C$18/20)</f>
        <v>7.1200884336627232E-2</v>
      </c>
      <c r="AE30" s="100">
        <f>SUM(F30:AC30)*Предпосылки!E2</f>
        <v>110023932.44262813</v>
      </c>
    </row>
    <row r="31" spans="1:31" ht="17" x14ac:dyDescent="0.2">
      <c r="A31" s="83" t="str">
        <f>Предпосылки!B6</f>
        <v>Брендированные плейлисты/каналы</v>
      </c>
      <c r="B31" s="91"/>
      <c r="C31" s="91"/>
      <c r="D31" s="91"/>
      <c r="E31" s="91"/>
      <c r="F31" s="16">
        <f>Предпосылки!$G$6*F$30</f>
        <v>500000</v>
      </c>
      <c r="G31" s="16">
        <f>Предпосылки!$G$6*G$30</f>
        <v>507743.75000000012</v>
      </c>
      <c r="H31" s="16">
        <f>Предпосылки!$G$6*H$30</f>
        <v>515607.43132812518</v>
      </c>
      <c r="I31" s="16">
        <f>Предпосылки!$G$6*I$30</f>
        <v>523592.90142081951</v>
      </c>
      <c r="J31" s="16">
        <f>Предпосылки!$G$6*J$30</f>
        <v>531702.04648157454</v>
      </c>
      <c r="K31" s="16">
        <f>Предпосылки!$G$6*N$30</f>
        <v>565414.13246538874</v>
      </c>
      <c r="L31" s="16">
        <f>Предпосылки!$G$6*L$30</f>
        <v>548299.052836544</v>
      </c>
      <c r="M31" s="16">
        <f>Предпосылки!$G$6*M$30</f>
        <v>556790.83441735001</v>
      </c>
      <c r="N31" s="16">
        <f>Предпосылки!$G$6*N$30</f>
        <v>565414.13246538874</v>
      </c>
      <c r="O31" s="16">
        <f>Предпосылки!$G$6*O$30</f>
        <v>574170.98384194658</v>
      </c>
      <c r="P31" s="16">
        <f>Предпосылки!$G$6*P$30</f>
        <v>583063.45695419877</v>
      </c>
      <c r="Q31" s="16">
        <f>Предпосылки!$G$6*Q$30</f>
        <v>592093.65224377695</v>
      </c>
      <c r="R31" s="16">
        <f>Предпосылки!$G$6*R$30</f>
        <v>601263.70268290245</v>
      </c>
      <c r="S31" s="16">
        <f>Предпосылки!$G$6*S$30</f>
        <v>610575.77427820396</v>
      </c>
      <c r="T31" s="16">
        <f>Предпосылки!$G$6*T$30</f>
        <v>620032.06658233772</v>
      </c>
      <c r="U31" s="16">
        <f>Предпосылки!$G$6*U$30</f>
        <v>629634.81321353163</v>
      </c>
      <c r="V31" s="16">
        <f>Предпосылки!$G$6*V$30</f>
        <v>639386.28238317627</v>
      </c>
      <c r="W31" s="16">
        <f>Предпосылки!$G$6*W$30</f>
        <v>649288.77743158571</v>
      </c>
      <c r="X31" s="16">
        <f>Предпосылки!$G$6*X$30</f>
        <v>659344.63737205754</v>
      </c>
      <c r="Y31" s="16">
        <f>Предпосылки!$G$6*Y$30</f>
        <v>669556.23744335736</v>
      </c>
      <c r="Z31" s="16">
        <f>Предпосылки!$G$6*Z$30</f>
        <v>679925.9896707614</v>
      </c>
      <c r="AA31" s="16">
        <f>Предпосылки!$G$6*AA$30</f>
        <v>690456.34343578748</v>
      </c>
      <c r="AB31" s="16">
        <f>Предпосылки!$G$6*AB$30</f>
        <v>701149.78605474927</v>
      </c>
      <c r="AC31" s="16">
        <f>Предпосылки!$G$6*AC$30</f>
        <v>712008.84336627228</v>
      </c>
    </row>
    <row r="32" spans="1:31" ht="17" x14ac:dyDescent="0.2">
      <c r="A32" s="83" t="str">
        <f>Предпосылки!B8</f>
        <v>Реклама перед/после видео</v>
      </c>
      <c r="B32" s="16"/>
      <c r="C32" s="16"/>
      <c r="D32" s="16"/>
      <c r="E32" s="16"/>
      <c r="F32" s="16">
        <f>Предпосылки!$G$8*F$30</f>
        <v>99674.999999999956</v>
      </c>
      <c r="G32" s="16">
        <f>Предпосылки!$G$8*G$30</f>
        <v>101218.71656249998</v>
      </c>
      <c r="H32" s="16">
        <f>Предпосылки!$G$8*H$30</f>
        <v>102786.34143526171</v>
      </c>
      <c r="I32" s="16">
        <f>Предпосылки!$G$8*I$30</f>
        <v>104378.24489824033</v>
      </c>
      <c r="J32" s="16">
        <f>Предпосылки!$G$8*J$30</f>
        <v>105994.80296610182</v>
      </c>
      <c r="K32" s="16">
        <f>Предпосылки!$G$8*N$30</f>
        <v>112715.3073069752</v>
      </c>
      <c r="L32" s="16">
        <f>Предпосылки!$G$8*L$30</f>
        <v>109303.41618296498</v>
      </c>
      <c r="M32" s="16">
        <f>Предпосылки!$G$8*M$30</f>
        <v>110996.25284109867</v>
      </c>
      <c r="N32" s="16">
        <f>Предпосылки!$G$8*N$30</f>
        <v>112715.3073069752</v>
      </c>
      <c r="O32" s="16">
        <f>Предпосылки!$G$8*O$30</f>
        <v>114460.985628892</v>
      </c>
      <c r="P32" s="16">
        <f>Предпосылки!$G$8*P$30</f>
        <v>116233.70014381947</v>
      </c>
      <c r="Q32" s="16">
        <f>Предпосылки!$G$8*Q$30</f>
        <v>118033.86957479689</v>
      </c>
      <c r="R32" s="16">
        <f>Предпосылки!$G$8*R$30</f>
        <v>119861.91912983656</v>
      </c>
      <c r="S32" s="16">
        <f>Предпосылки!$G$8*S$30</f>
        <v>121718.28060235991</v>
      </c>
      <c r="T32" s="16">
        <f>Предпосылки!$G$8*T$30</f>
        <v>123603.39247318897</v>
      </c>
      <c r="U32" s="16">
        <f>Предпосылки!$G$8*U$30</f>
        <v>125517.70001411748</v>
      </c>
      <c r="V32" s="16">
        <f>Предпосылки!$G$8*V$30</f>
        <v>127461.65539308613</v>
      </c>
      <c r="W32" s="16">
        <f>Предпосылки!$G$8*W$30</f>
        <v>129435.71778098655</v>
      </c>
      <c r="X32" s="16">
        <f>Предпосылки!$G$8*X$30</f>
        <v>131440.3534601196</v>
      </c>
      <c r="Y32" s="16">
        <f>Предпосылки!$G$8*Y$30</f>
        <v>133476.03593433322</v>
      </c>
      <c r="Z32" s="16">
        <f>Предпосылки!$G$8*Z$30</f>
        <v>135543.24604086622</v>
      </c>
      <c r="AA32" s="16">
        <f>Предпосылки!$G$8*AA$30</f>
        <v>137642.47206392416</v>
      </c>
      <c r="AB32" s="16">
        <f>Предпосылки!$G$8*AB$30</f>
        <v>139774.20985001422</v>
      </c>
      <c r="AC32" s="16">
        <f>Предпосылки!$G$8*AC$30</f>
        <v>141938.96292506633</v>
      </c>
    </row>
    <row r="33" spans="1:29" ht="17" x14ac:dyDescent="0.2">
      <c r="A33" s="83" t="str">
        <f>Предпосылки!B7</f>
        <v>Спонсорские интеграции в шоу</v>
      </c>
      <c r="B33" s="16"/>
      <c r="C33" s="16"/>
      <c r="D33" s="16"/>
      <c r="E33" s="16"/>
      <c r="F33" s="16">
        <f>Предпосылки!$G$7*F$30</f>
        <v>2250000</v>
      </c>
      <c r="G33" s="16">
        <f>Предпосылки!$G$7*G$30</f>
        <v>2284846.8750000005</v>
      </c>
      <c r="H33" s="16">
        <f>Предпосылки!$G$7*H$30</f>
        <v>2320233.4409765634</v>
      </c>
      <c r="I33" s="16">
        <f>Предпосылки!$G$7*I$30</f>
        <v>2356168.0563936881</v>
      </c>
      <c r="J33" s="16">
        <f>Предпосылки!$G$7*J$30</f>
        <v>2392659.2091670851</v>
      </c>
      <c r="K33" s="16">
        <f>Предпосылки!$G$7*N$30</f>
        <v>2544363.5960942497</v>
      </c>
      <c r="L33" s="16">
        <f>Предпосылки!$G$7*L$30</f>
        <v>2467345.7377644479</v>
      </c>
      <c r="M33" s="16">
        <f>Предпосылки!$G$7*M$30</f>
        <v>2505558.7548780749</v>
      </c>
      <c r="N33" s="16">
        <f>Предпосылки!$G$7*N$30</f>
        <v>2544363.5960942497</v>
      </c>
      <c r="O33" s="16">
        <f>Предпосылки!$G$7*O$30</f>
        <v>2583769.4272887595</v>
      </c>
      <c r="P33" s="16">
        <f>Предпосылки!$G$7*P$30</f>
        <v>2623785.5562938945</v>
      </c>
      <c r="Q33" s="16">
        <f>Предпосылки!$G$7*Q$30</f>
        <v>2664421.4350969964</v>
      </c>
      <c r="R33" s="16">
        <f>Предпосылки!$G$7*R$30</f>
        <v>2705686.6620730613</v>
      </c>
      <c r="S33" s="16">
        <f>Предпосылки!$G$7*S$30</f>
        <v>2747590.9842519178</v>
      </c>
      <c r="T33" s="16">
        <f>Предпосылки!$G$7*T$30</f>
        <v>2790144.2996205199</v>
      </c>
      <c r="U33" s="16">
        <f>Предпосылки!$G$7*U$30</f>
        <v>2833356.6594608924</v>
      </c>
      <c r="V33" s="16">
        <f>Предпосылки!$G$7*V$30</f>
        <v>2877238.2707242933</v>
      </c>
      <c r="W33" s="16">
        <f>Предпосылки!$G$7*W$30</f>
        <v>2921799.4984421358</v>
      </c>
      <c r="X33" s="16">
        <f>Предпосылки!$G$7*X$30</f>
        <v>2967050.8681742591</v>
      </c>
      <c r="Y33" s="16">
        <f>Предпосылки!$G$7*Y$30</f>
        <v>3013003.0684951083</v>
      </c>
      <c r="Z33" s="16">
        <f>Предпосылки!$G$7*Z$30</f>
        <v>3059666.9535184265</v>
      </c>
      <c r="AA33" s="16">
        <f>Предпосылки!$G$7*AA$30</f>
        <v>3107053.5454610432</v>
      </c>
      <c r="AB33" s="16">
        <f>Предпосылки!$G$7*AB$30</f>
        <v>3155174.0372463716</v>
      </c>
      <c r="AC33" s="16">
        <f>Предпосылки!$G$7*AC$30</f>
        <v>3204039.7951482255</v>
      </c>
    </row>
    <row r="34" spans="1:29" ht="17" x14ac:dyDescent="0.2">
      <c r="A34" s="29" t="str">
        <f>Предпосылки!B9</f>
        <v>реклама от авторов</v>
      </c>
      <c r="B34" s="16"/>
      <c r="C34" s="16"/>
      <c r="D34" s="16"/>
      <c r="E34" s="16"/>
      <c r="F34" s="16">
        <f>Предпосылки!$G$9*F$30</f>
        <v>5315.9999999999991</v>
      </c>
      <c r="G34" s="16">
        <f>Предпосылки!$G$9*G$30</f>
        <v>5398.3315499999999</v>
      </c>
      <c r="H34" s="16">
        <f>Предпосылки!$G$9*H$30</f>
        <v>5481.9382098806254</v>
      </c>
      <c r="I34" s="16">
        <f>Предпосылки!$G$9*I$30</f>
        <v>5566.8397279061519</v>
      </c>
      <c r="J34" s="16">
        <f>Предпосылки!$G$9*J$30</f>
        <v>5653.0561581920983</v>
      </c>
      <c r="K34" s="16">
        <f>Предпосылки!$G$9*N$30</f>
        <v>6011.4830563720116</v>
      </c>
      <c r="L34" s="16">
        <f>Предпосылки!$G$9*L$30</f>
        <v>5829.5155297581341</v>
      </c>
      <c r="M34" s="16">
        <f>Предпосылки!$G$9*M$30</f>
        <v>5919.8001515252636</v>
      </c>
      <c r="N34" s="16">
        <f>Предпосылки!$G$9*N$30</f>
        <v>6011.4830563720116</v>
      </c>
      <c r="O34" s="16">
        <f>Предпосылки!$G$9*O$30</f>
        <v>6104.585900207574</v>
      </c>
      <c r="P34" s="16">
        <f>Предпосылки!$G$9*P$30</f>
        <v>6199.1306743370396</v>
      </c>
      <c r="Q34" s="16">
        <f>Предпосылки!$G$9*Q$30</f>
        <v>6295.1397106558352</v>
      </c>
      <c r="R34" s="16">
        <f>Предпосылки!$G$9*R$30</f>
        <v>6392.6356869246174</v>
      </c>
      <c r="S34" s="16">
        <f>Предпосылки!$G$9*S$30</f>
        <v>6491.641632125863</v>
      </c>
      <c r="T34" s="16">
        <f>Предпосылки!$G$9*T$30</f>
        <v>6592.1809319034128</v>
      </c>
      <c r="U34" s="16">
        <f>Предпосылки!$G$9*U$30</f>
        <v>6694.2773340862668</v>
      </c>
      <c r="V34" s="16">
        <f>Предпосылки!$G$9*V$30</f>
        <v>6797.9549542979285</v>
      </c>
      <c r="W34" s="16">
        <f>Предпосылки!$G$9*W$30</f>
        <v>6903.2382816526178</v>
      </c>
      <c r="X34" s="16">
        <f>Предпосылки!$G$9*X$30</f>
        <v>7010.1521845397137</v>
      </c>
      <c r="Y34" s="16">
        <f>Предпосылки!$G$9*Y$30</f>
        <v>7118.7219164977732</v>
      </c>
      <c r="Z34" s="16">
        <f>Предпосылки!$G$9*Z$30</f>
        <v>7228.9731221795337</v>
      </c>
      <c r="AA34" s="16">
        <f>Предпосылки!$G$9*AA$30</f>
        <v>7340.9318434092902</v>
      </c>
      <c r="AB34" s="16">
        <f>Предпосылки!$G$9*AB$30</f>
        <v>7454.6245253340921</v>
      </c>
      <c r="AC34" s="16">
        <f>Предпосылки!$G$9*AC$30</f>
        <v>7570.0780226702054</v>
      </c>
    </row>
    <row r="35" spans="1:29" ht="17" x14ac:dyDescent="0.2">
      <c r="A35" s="29" t="str">
        <f>Предпосылки!B11</f>
        <v xml:space="preserve">Подписка на "без рекламы" </v>
      </c>
      <c r="B35" s="16"/>
      <c r="C35" s="16"/>
      <c r="D35" s="16"/>
      <c r="E35" s="16"/>
      <c r="F35" s="16">
        <f>Предпосылки!$G$11*F30</f>
        <v>0</v>
      </c>
      <c r="G35" s="16">
        <f>Предпосылки!$G$11*G30</f>
        <v>0</v>
      </c>
      <c r="H35" s="16">
        <f>Предпосылки!$G$11*H30</f>
        <v>0</v>
      </c>
      <c r="I35" s="16">
        <f>Предпосылки!$G$11*I30</f>
        <v>0</v>
      </c>
      <c r="J35" s="16">
        <f>Предпосылки!$G$11*J30</f>
        <v>0</v>
      </c>
      <c r="K35" s="16">
        <f>Предпосылки!$G$11*N30</f>
        <v>0</v>
      </c>
      <c r="L35" s="16">
        <f>Предпосылки!$G$11*L30</f>
        <v>0</v>
      </c>
      <c r="M35" s="16">
        <f>Предпосылки!$G$11*M30</f>
        <v>0</v>
      </c>
      <c r="N35" s="16">
        <f>Предпосылки!$G$11*N$30</f>
        <v>0</v>
      </c>
      <c r="O35" s="16">
        <f>Предпосылки!$G$11*O30</f>
        <v>0</v>
      </c>
      <c r="P35" s="16">
        <f>Предпосылки!$G$11*P30</f>
        <v>0</v>
      </c>
      <c r="Q35" s="16">
        <f>Предпосылки!$G$11*Q30</f>
        <v>0</v>
      </c>
      <c r="R35" s="16">
        <f>Предпосылки!$G$11*R30</f>
        <v>0</v>
      </c>
      <c r="S35" s="16">
        <f>Предпосылки!$G$11*S30</f>
        <v>0</v>
      </c>
      <c r="T35" s="16">
        <f>Предпосылки!$G$11*T30</f>
        <v>0</v>
      </c>
      <c r="U35" s="16">
        <f>Предпосылки!$G$11*U30</f>
        <v>0</v>
      </c>
      <c r="V35" s="16">
        <f>Предпосылки!$G$11*V30</f>
        <v>0</v>
      </c>
      <c r="W35" s="16">
        <f>Предпосылки!$G$11*W30</f>
        <v>0</v>
      </c>
      <c r="X35" s="16">
        <f>Предпосылки!$G$11*X30</f>
        <v>0</v>
      </c>
      <c r="Y35" s="16">
        <f>Предпосылки!$G$11*Y30</f>
        <v>0</v>
      </c>
      <c r="Z35" s="16">
        <f>Предпосылки!$G$11*Z30</f>
        <v>0</v>
      </c>
      <c r="AA35" s="16">
        <f>Предпосылки!$G$11*AA30</f>
        <v>0</v>
      </c>
      <c r="AB35" s="16">
        <f>Предпосылки!$G$11*AB30</f>
        <v>0</v>
      </c>
      <c r="AC35" s="16">
        <f>Предпосылки!$G$11*AC30</f>
        <v>0</v>
      </c>
    </row>
    <row r="36" spans="1:29" x14ac:dyDescent="0.2">
      <c r="A36" s="29" t="str">
        <f>Предпосылки!B10</f>
        <v>Просмотры контента от онлайн школ</v>
      </c>
      <c r="B36" s="16"/>
      <c r="C36" s="16"/>
      <c r="D36" s="16"/>
      <c r="E36" s="16"/>
      <c r="F36" s="16">
        <f>Предпосылки!$G$10*'Cash Flow'!F$30*Предпосылки!$C$14</f>
        <v>12937500</v>
      </c>
      <c r="G36" s="16">
        <f>Предпосылки!$G$10*'Cash Flow'!G$30*Предпосылки!$C$14</f>
        <v>13137869.531250002</v>
      </c>
      <c r="H36" s="16">
        <f>Предпосылки!$G$10*'Cash Flow'!H$30*Предпосылки!$C$14</f>
        <v>13341342.285615239</v>
      </c>
      <c r="I36" s="16">
        <f>Предпосылки!$G$10*'Cash Flow'!I$30*Предпосылки!$C$14</f>
        <v>13547966.324263705</v>
      </c>
      <c r="J36" s="16">
        <f>Предпосылки!$G$10*'Cash Flow'!J$30*Предпосылки!$C$14</f>
        <v>13757790.45271074</v>
      </c>
      <c r="K36" s="16">
        <f>Предпосылки!$G$10*'Cash Flow'!K$30*Предпосылки!$C$14</f>
        <v>13970864.232347099</v>
      </c>
      <c r="L36" s="16">
        <f>Предпосылки!$G$10*'Cash Flow'!L$30*Предпосылки!$C$14</f>
        <v>14187237.992145574</v>
      </c>
      <c r="M36" s="16">
        <f>Предпосылки!$G$10*'Cash Flow'!M$30*Предпосылки!$C$14</f>
        <v>14406962.840548931</v>
      </c>
      <c r="N36" s="16">
        <f>Предпосылки!$G$10*'Cash Flow'!N$30*Предпосылки!$C$14</f>
        <v>14630090.677541936</v>
      </c>
      <c r="O36" s="16">
        <f>Предпосылки!$G$10*'Cash Flow'!O$30*Предпосылки!$C$14</f>
        <v>14856674.206910368</v>
      </c>
      <c r="P36" s="16">
        <f>Предпосылки!$G$10*'Cash Flow'!P$30*Предпосылки!$C$14</f>
        <v>15086766.948689891</v>
      </c>
      <c r="Q36" s="16">
        <f>Предпосылки!$G$10*'Cash Flow'!Q$30*Предпосылки!$C$14</f>
        <v>15320423.251807727</v>
      </c>
      <c r="R36" s="16">
        <f>Предпосылки!$G$10*'Cash Flow'!R$30*Предпосылки!$C$14</f>
        <v>15557698.306920102</v>
      </c>
      <c r="S36" s="16">
        <f>Предпосылки!$G$10*'Cash Flow'!S$30*Предпосылки!$C$14</f>
        <v>15798648.159448527</v>
      </c>
      <c r="T36" s="16">
        <f>Предпосылки!$G$10*'Cash Flow'!T$30*Предпосылки!$C$14</f>
        <v>16043329.722817987</v>
      </c>
      <c r="U36" s="16">
        <f>Предпосылки!$G$10*'Cash Flow'!U$30*Предпосылки!$C$14</f>
        <v>16291800.791900132</v>
      </c>
      <c r="V36" s="16">
        <f>Предпосылки!$G$10*'Cash Flow'!V$30*Предпосылки!$C$14</f>
        <v>16544120.056664687</v>
      </c>
      <c r="W36" s="16">
        <f>Предпосылки!$G$10*'Cash Flow'!W$30*Предпосылки!$C$14</f>
        <v>16800347.116042279</v>
      </c>
      <c r="X36" s="16">
        <f>Предпосылки!$G$10*'Cash Flow'!X$30*Предпосылки!$C$14</f>
        <v>17060542.492001988</v>
      </c>
      <c r="Y36" s="16">
        <f>Предпосылки!$G$10*'Cash Flow'!Y$30*Предпосылки!$C$14</f>
        <v>17324767.643846869</v>
      </c>
      <c r="Z36" s="16">
        <f>Предпосылки!$G$10*'Cash Flow'!Z$30*Предпосылки!$C$14</f>
        <v>17593084.982730951</v>
      </c>
      <c r="AA36" s="16">
        <f>Предпосылки!$G$10*'Cash Flow'!AA$30*Предпосылки!$C$14</f>
        <v>17865557.886401001</v>
      </c>
      <c r="AB36" s="16">
        <f>Предпосылки!$G$10*'Cash Flow'!AB$30*Предпосылки!$C$14</f>
        <v>18142250.714166638</v>
      </c>
      <c r="AC36" s="16">
        <f>Предпосылки!$G$10*'Cash Flow'!AC$30*Предпосылки!$C$14</f>
        <v>18423228.822102293</v>
      </c>
    </row>
    <row r="37" spans="1:29" ht="17" x14ac:dyDescent="0.2">
      <c r="A37" s="29" t="s">
        <v>24</v>
      </c>
      <c r="B37" s="17">
        <f t="shared" ref="B37:D37" si="30">SUM(B32:B32)</f>
        <v>0</v>
      </c>
      <c r="C37" s="17">
        <f t="shared" si="30"/>
        <v>0</v>
      </c>
      <c r="D37" s="17">
        <f t="shared" si="30"/>
        <v>0</v>
      </c>
      <c r="E37" s="17">
        <f>SUM(E32:E32)</f>
        <v>0</v>
      </c>
      <c r="F37" s="17">
        <f>SUM(F31:F36)</f>
        <v>15792491</v>
      </c>
      <c r="G37" s="17">
        <f>SUM(G31:G36)</f>
        <v>16037077.204362502</v>
      </c>
      <c r="H37" s="17">
        <f t="shared" ref="H37:AC37" si="31">SUM(H31:H36)</f>
        <v>16285451.43756507</v>
      </c>
      <c r="I37" s="17">
        <f t="shared" si="31"/>
        <v>16537672.36670436</v>
      </c>
      <c r="J37" s="17">
        <f t="shared" si="31"/>
        <v>16793799.567483693</v>
      </c>
      <c r="K37" s="17">
        <f t="shared" si="31"/>
        <v>17199368.751270086</v>
      </c>
      <c r="L37" s="17">
        <f t="shared" si="31"/>
        <v>17318015.714459289</v>
      </c>
      <c r="M37" s="17">
        <f t="shared" si="31"/>
        <v>17586228.48283698</v>
      </c>
      <c r="N37" s="17">
        <f t="shared" si="31"/>
        <v>17858595.196464922</v>
      </c>
      <c r="O37" s="17">
        <f t="shared" si="31"/>
        <v>18135180.189570174</v>
      </c>
      <c r="P37" s="17">
        <f t="shared" si="31"/>
        <v>18416048.79275614</v>
      </c>
      <c r="Q37" s="17">
        <f t="shared" si="31"/>
        <v>18701267.348433953</v>
      </c>
      <c r="R37" s="17">
        <f t="shared" si="31"/>
        <v>18990903.226492826</v>
      </c>
      <c r="S37" s="17">
        <f t="shared" si="31"/>
        <v>19285024.840213135</v>
      </c>
      <c r="T37" s="17">
        <f t="shared" si="31"/>
        <v>19583701.662425935</v>
      </c>
      <c r="U37" s="17">
        <f t="shared" si="31"/>
        <v>19887004.241922759</v>
      </c>
      <c r="V37" s="17">
        <f t="shared" si="31"/>
        <v>20195004.22011954</v>
      </c>
      <c r="W37" s="17">
        <f t="shared" si="31"/>
        <v>20507774.34797864</v>
      </c>
      <c r="X37" s="17">
        <f t="shared" si="31"/>
        <v>20825388.503192965</v>
      </c>
      <c r="Y37" s="17">
        <f t="shared" si="31"/>
        <v>21147921.707636166</v>
      </c>
      <c r="Z37" s="17">
        <f t="shared" si="31"/>
        <v>21475450.145083185</v>
      </c>
      <c r="AA37" s="17">
        <f t="shared" si="31"/>
        <v>21808051.179205164</v>
      </c>
      <c r="AB37" s="17">
        <f t="shared" si="31"/>
        <v>22145803.371843107</v>
      </c>
      <c r="AC37" s="17">
        <f t="shared" si="31"/>
        <v>22488786.501564529</v>
      </c>
    </row>
    <row r="38" spans="1:29" ht="17" x14ac:dyDescent="0.2">
      <c r="A38" s="30" t="str">
        <f>Расходники!A2</f>
        <v>Капитальные затраты (CapEx)</v>
      </c>
      <c r="B38" s="31">
        <f>Расходники!C2*1000000</f>
        <v>9000000</v>
      </c>
      <c r="C38" s="31"/>
      <c r="D38" s="31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1">
        <f>Расходники!C2*1000000</f>
        <v>9000000</v>
      </c>
      <c r="S38" s="31"/>
      <c r="T38" s="31"/>
      <c r="U38" s="31"/>
      <c r="V38" s="32"/>
      <c r="W38" s="32"/>
      <c r="X38" s="32"/>
      <c r="Y38" s="32"/>
      <c r="Z38" s="32"/>
      <c r="AA38" s="32"/>
      <c r="AB38" s="32"/>
      <c r="AC38" s="32"/>
    </row>
    <row r="39" spans="1:29" ht="17" x14ac:dyDescent="0.2">
      <c r="A39" s="85" t="str">
        <f>Расходники!A11</f>
        <v>Операционные расходы (OpEx)</v>
      </c>
      <c r="B39" s="19">
        <f>Расходники!C11</f>
        <v>7245000</v>
      </c>
      <c r="C39" s="19">
        <f t="shared" ref="C39" si="32">B39</f>
        <v>7245000</v>
      </c>
      <c r="D39" s="19">
        <f t="shared" ref="D39" si="33">C39</f>
        <v>7245000</v>
      </c>
      <c r="E39" s="19">
        <f t="shared" ref="E39" si="34">D39</f>
        <v>7245000</v>
      </c>
      <c r="F39" s="19">
        <f>E39</f>
        <v>7245000</v>
      </c>
      <c r="G39" s="19">
        <f t="shared" ref="G39" si="35">F39</f>
        <v>7245000</v>
      </c>
      <c r="H39" s="19">
        <f t="shared" ref="H39" si="36">G39</f>
        <v>7245000</v>
      </c>
      <c r="I39" s="19">
        <f t="shared" ref="I39" si="37">H39</f>
        <v>7245000</v>
      </c>
      <c r="J39" s="19">
        <f t="shared" ref="J39" si="38">I39</f>
        <v>7245000</v>
      </c>
      <c r="K39" s="19">
        <f t="shared" ref="K39" si="39">J39</f>
        <v>7245000</v>
      </c>
      <c r="L39" s="19">
        <f t="shared" ref="L39" si="40">K39</f>
        <v>7245000</v>
      </c>
      <c r="M39" s="19">
        <f t="shared" ref="M39" si="41">L39</f>
        <v>7245000</v>
      </c>
      <c r="N39" s="19">
        <f t="shared" ref="N39" si="42">M39</f>
        <v>7245000</v>
      </c>
      <c r="O39" s="19">
        <f t="shared" ref="O39" si="43">N39</f>
        <v>7245000</v>
      </c>
      <c r="P39" s="19">
        <f t="shared" ref="P39" si="44">O39</f>
        <v>7245000</v>
      </c>
      <c r="Q39" s="19">
        <f t="shared" ref="Q39" si="45">P39</f>
        <v>7245000</v>
      </c>
      <c r="R39" s="19">
        <f t="shared" ref="R39" si="46">Q39</f>
        <v>7245000</v>
      </c>
      <c r="S39" s="19">
        <f t="shared" ref="S39" si="47">R39</f>
        <v>7245000</v>
      </c>
      <c r="T39" s="19">
        <f t="shared" ref="T39" si="48">S39</f>
        <v>7245000</v>
      </c>
      <c r="U39" s="19">
        <f t="shared" ref="U39" si="49">T39</f>
        <v>7245000</v>
      </c>
      <c r="V39" s="19">
        <f t="shared" ref="V39" si="50">U39</f>
        <v>7245000</v>
      </c>
      <c r="W39" s="19">
        <f t="shared" ref="W39" si="51">V39</f>
        <v>7245000</v>
      </c>
      <c r="X39" s="19">
        <f t="shared" ref="X39" si="52">W39</f>
        <v>7245000</v>
      </c>
      <c r="Y39" s="19">
        <f t="shared" ref="Y39" si="53">X39</f>
        <v>7245000</v>
      </c>
      <c r="Z39" s="19">
        <f t="shared" ref="Z39" si="54">Y39</f>
        <v>7245000</v>
      </c>
      <c r="AA39" s="19">
        <f t="shared" ref="AA39" si="55">Z39</f>
        <v>7245000</v>
      </c>
      <c r="AB39" s="19">
        <f t="shared" ref="AB39" si="56">AA39</f>
        <v>7245000</v>
      </c>
      <c r="AC39" s="19">
        <f t="shared" ref="AC39" si="57">AB39</f>
        <v>7245000</v>
      </c>
    </row>
    <row r="40" spans="1:29" ht="17" x14ac:dyDescent="0.2">
      <c r="A40" s="86" t="s">
        <v>130</v>
      </c>
      <c r="B40" s="32"/>
      <c r="C40" s="32"/>
      <c r="D40" s="32"/>
      <c r="E40" s="32">
        <f>Расходники!$C$30</f>
        <v>2509500</v>
      </c>
      <c r="F40" s="32">
        <f>Расходники!$C$30</f>
        <v>2509500</v>
      </c>
      <c r="G40" s="32">
        <f>Расходники!$C$30</f>
        <v>2509500</v>
      </c>
      <c r="H40" s="32">
        <f>Расходники!$C$30</f>
        <v>2509500</v>
      </c>
      <c r="I40" s="32">
        <f>Расходники!$C$30</f>
        <v>2509500</v>
      </c>
      <c r="J40" s="32">
        <f>Расходники!$C$30</f>
        <v>2509500</v>
      </c>
      <c r="K40" s="32">
        <f>Расходники!$C$30</f>
        <v>2509500</v>
      </c>
      <c r="L40" s="32">
        <f>Расходники!$C$30</f>
        <v>2509500</v>
      </c>
      <c r="M40" s="32">
        <f>Расходники!$C$30</f>
        <v>2509500</v>
      </c>
      <c r="N40" s="32">
        <f>Расходники!$C$30</f>
        <v>2509500</v>
      </c>
      <c r="O40" s="32">
        <f>Расходники!$C$30</f>
        <v>2509500</v>
      </c>
      <c r="P40" s="32">
        <f>Расходники!$C$30</f>
        <v>2509500</v>
      </c>
      <c r="Q40" s="32">
        <f>Расходники!$C$30</f>
        <v>2509500</v>
      </c>
      <c r="R40" s="32">
        <f>Расходники!$C$30</f>
        <v>2509500</v>
      </c>
      <c r="S40" s="32">
        <f>Расходники!$C$30</f>
        <v>2509500</v>
      </c>
      <c r="T40" s="32">
        <f>Расходники!$C$30</f>
        <v>2509500</v>
      </c>
      <c r="U40" s="32">
        <f>Расходники!$C$30</f>
        <v>2509500</v>
      </c>
      <c r="V40" s="32">
        <f>Расходники!$C$30</f>
        <v>2509500</v>
      </c>
      <c r="W40" s="32">
        <f>Расходники!$C$30</f>
        <v>2509500</v>
      </c>
      <c r="X40" s="32">
        <f>Расходники!$C$30</f>
        <v>2509500</v>
      </c>
      <c r="Y40" s="32">
        <f>Расходники!$C$30</f>
        <v>2509500</v>
      </c>
      <c r="Z40" s="32">
        <f>Расходники!$C$30</f>
        <v>2509500</v>
      </c>
      <c r="AA40" s="32">
        <f>Расходники!$C$30</f>
        <v>2509500</v>
      </c>
      <c r="AB40" s="32">
        <f>Расходники!$C$30</f>
        <v>2509500</v>
      </c>
      <c r="AC40" s="32">
        <f>Расходники!$C$30</f>
        <v>2509500</v>
      </c>
    </row>
    <row r="41" spans="1:29" x14ac:dyDescent="0.2">
      <c r="A41" s="34" t="s">
        <v>66</v>
      </c>
      <c r="B41" s="19">
        <f>B37-B38-B39</f>
        <v>-16245000</v>
      </c>
      <c r="C41" s="19">
        <f>C37-C38-C39</f>
        <v>-7245000</v>
      </c>
      <c r="D41" s="19">
        <f>D37-D38-D39</f>
        <v>-7245000</v>
      </c>
      <c r="E41" s="19">
        <f>E37-E38-E39-E40</f>
        <v>-9754500</v>
      </c>
      <c r="F41" s="19">
        <f>F11-F38-F39-F40</f>
        <v>6037991</v>
      </c>
      <c r="G41" s="19">
        <f>G37-G38-G39-G40</f>
        <v>6282577.2043625023</v>
      </c>
      <c r="H41" s="19">
        <f>H37-H38-H39-H40</f>
        <v>6530951.4375650696</v>
      </c>
      <c r="I41" s="19">
        <f>I37-I38-I39-I40</f>
        <v>6783172.3667043597</v>
      </c>
      <c r="J41" s="19">
        <f>J37-J38-J39-J40</f>
        <v>7039299.5674836934</v>
      </c>
      <c r="K41" s="19">
        <f>K37-K38-K39-K40</f>
        <v>7444868.7512700856</v>
      </c>
      <c r="L41" s="19">
        <f>L37-L38-L39-L40</f>
        <v>7563515.7144592889</v>
      </c>
      <c r="M41" s="19">
        <f>M37-M38-M39-M40</f>
        <v>7831728.4828369804</v>
      </c>
      <c r="N41" s="19">
        <f>N37-N38-N39-N40</f>
        <v>8104095.1964649223</v>
      </c>
      <c r="O41" s="19">
        <f>O37-O38-O39-O40</f>
        <v>8380680.1895701736</v>
      </c>
      <c r="P41" s="19">
        <f>P37-P38-P39-P40</f>
        <v>8661548.7927561402</v>
      </c>
      <c r="Q41" s="19">
        <f>Q37-Q38-Q39-Q40</f>
        <v>8946767.3484339528</v>
      </c>
      <c r="R41" s="19">
        <f>R37-R38-R39-R40</f>
        <v>236403.2264928259</v>
      </c>
      <c r="S41" s="19">
        <f>S37-S38-S39-S40</f>
        <v>9530524.8402131349</v>
      </c>
      <c r="T41" s="19">
        <f>T37-T38-T39-T40</f>
        <v>9829201.6624259353</v>
      </c>
      <c r="U41" s="19">
        <f>U37-U38-U39-U40</f>
        <v>10132504.241922759</v>
      </c>
      <c r="V41" s="19">
        <f>V37-V38-V39-V40</f>
        <v>10440504.22011954</v>
      </c>
      <c r="W41" s="19">
        <f>W37-W38-W39-W40</f>
        <v>10753274.34797864</v>
      </c>
      <c r="X41" s="19">
        <f>X37-X38-X39-X40</f>
        <v>11070888.503192965</v>
      </c>
      <c r="Y41" s="19">
        <f>Y37-Y38-Y39-Y40</f>
        <v>11393421.707636166</v>
      </c>
      <c r="Z41" s="19">
        <f>Z37-Z38-Z39-Z40</f>
        <v>11720950.145083185</v>
      </c>
      <c r="AA41" s="19">
        <f>AA37-AA38-AA39-AA40</f>
        <v>12053551.179205164</v>
      </c>
      <c r="AB41" s="19">
        <f>AB37-AB38-AB39-AB40</f>
        <v>12391303.371843107</v>
      </c>
      <c r="AC41" s="19">
        <f>AC37-AC38-AC39-AC40</f>
        <v>12734286.501564529</v>
      </c>
    </row>
    <row r="42" spans="1:29" x14ac:dyDescent="0.2">
      <c r="A42" s="35" t="s">
        <v>16</v>
      </c>
      <c r="B42" s="33">
        <f>IF(B41&gt;0,B41*20%,0)</f>
        <v>0</v>
      </c>
      <c r="C42" s="33">
        <f t="shared" ref="C42:AC42" si="58">IF(C41&gt;0,C41*20%,0)</f>
        <v>0</v>
      </c>
      <c r="D42" s="33">
        <f t="shared" si="58"/>
        <v>0</v>
      </c>
      <c r="E42" s="33">
        <f t="shared" si="58"/>
        <v>0</v>
      </c>
      <c r="F42" s="33">
        <f>IF(F41&gt;0,F41*20%,0)</f>
        <v>1207598.2</v>
      </c>
      <c r="G42" s="33">
        <f t="shared" si="58"/>
        <v>1256515.4408725004</v>
      </c>
      <c r="H42" s="33">
        <f t="shared" si="58"/>
        <v>1306190.2875130139</v>
      </c>
      <c r="I42" s="33">
        <f t="shared" si="58"/>
        <v>1356634.473340872</v>
      </c>
      <c r="J42" s="33">
        <f t="shared" si="58"/>
        <v>1407859.9134967388</v>
      </c>
      <c r="K42" s="33">
        <f t="shared" si="58"/>
        <v>1488973.7502540173</v>
      </c>
      <c r="L42" s="33">
        <f t="shared" si="58"/>
        <v>1512703.1428918578</v>
      </c>
      <c r="M42" s="33">
        <f t="shared" si="58"/>
        <v>1566345.6965673962</v>
      </c>
      <c r="N42" s="33">
        <f t="shared" si="58"/>
        <v>1620819.0392929846</v>
      </c>
      <c r="O42" s="33">
        <f t="shared" si="58"/>
        <v>1676136.0379140349</v>
      </c>
      <c r="P42" s="33">
        <f t="shared" si="58"/>
        <v>1732309.7585512281</v>
      </c>
      <c r="Q42" s="33">
        <f t="shared" si="58"/>
        <v>1789353.4696867906</v>
      </c>
      <c r="R42" s="33">
        <f t="shared" si="58"/>
        <v>47280.645298565185</v>
      </c>
      <c r="S42" s="33">
        <f t="shared" si="58"/>
        <v>1906104.968042627</v>
      </c>
      <c r="T42" s="33">
        <f t="shared" si="58"/>
        <v>1965840.3324851871</v>
      </c>
      <c r="U42" s="33">
        <f t="shared" si="58"/>
        <v>2026500.8483845517</v>
      </c>
      <c r="V42" s="33">
        <f t="shared" si="58"/>
        <v>2088100.844023908</v>
      </c>
      <c r="W42" s="33">
        <f t="shared" si="58"/>
        <v>2150654.8695957283</v>
      </c>
      <c r="X42" s="33">
        <f t="shared" si="58"/>
        <v>2214177.7006385932</v>
      </c>
      <c r="Y42" s="33">
        <f t="shared" si="58"/>
        <v>2278684.3415272334</v>
      </c>
      <c r="Z42" s="33">
        <f t="shared" si="58"/>
        <v>2344190.0290166372</v>
      </c>
      <c r="AA42" s="33">
        <f t="shared" si="58"/>
        <v>2410710.235841033</v>
      </c>
      <c r="AB42" s="33">
        <f t="shared" si="58"/>
        <v>2478260.6743686213</v>
      </c>
      <c r="AC42" s="33">
        <f t="shared" si="58"/>
        <v>2546857.300312906</v>
      </c>
    </row>
    <row r="43" spans="1:29" x14ac:dyDescent="0.2">
      <c r="A43" s="36" t="s">
        <v>62</v>
      </c>
      <c r="B43" s="19">
        <f>SUM(B41:B42)</f>
        <v>-16245000</v>
      </c>
      <c r="C43" s="19">
        <f t="shared" ref="C43:E43" si="59">SUM(C41:C42)</f>
        <v>-7245000</v>
      </c>
      <c r="D43" s="19">
        <f t="shared" si="59"/>
        <v>-7245000</v>
      </c>
      <c r="E43" s="19">
        <f t="shared" si="59"/>
        <v>-9754500</v>
      </c>
      <c r="F43" s="19">
        <f>SUM(F41:F42)</f>
        <v>7245589.2000000002</v>
      </c>
      <c r="G43" s="19">
        <f t="shared" ref="G43:AC43" si="60">SUM(G41:G42)</f>
        <v>7539092.645235003</v>
      </c>
      <c r="H43" s="19">
        <f t="shared" si="60"/>
        <v>7837141.7250780836</v>
      </c>
      <c r="I43" s="19">
        <f t="shared" si="60"/>
        <v>8139806.8400452314</v>
      </c>
      <c r="J43" s="19">
        <f t="shared" si="60"/>
        <v>8447159.4809804317</v>
      </c>
      <c r="K43" s="19">
        <f t="shared" si="60"/>
        <v>8933842.5015241019</v>
      </c>
      <c r="L43" s="19">
        <f t="shared" si="60"/>
        <v>9076218.8573511466</v>
      </c>
      <c r="M43" s="19">
        <f t="shared" si="60"/>
        <v>9398074.1794043761</v>
      </c>
      <c r="N43" s="19">
        <f t="shared" si="60"/>
        <v>9724914.235757906</v>
      </c>
      <c r="O43" s="19">
        <f t="shared" si="60"/>
        <v>10056816.227484208</v>
      </c>
      <c r="P43" s="19">
        <f t="shared" si="60"/>
        <v>10393858.551307369</v>
      </c>
      <c r="Q43" s="19">
        <f t="shared" si="60"/>
        <v>10736120.818120744</v>
      </c>
      <c r="R43" s="19">
        <f t="shared" si="60"/>
        <v>283683.87179139105</v>
      </c>
      <c r="S43" s="19">
        <f t="shared" si="60"/>
        <v>11436629.808255762</v>
      </c>
      <c r="T43" s="19">
        <f t="shared" si="60"/>
        <v>11795041.994911123</v>
      </c>
      <c r="U43" s="19">
        <f t="shared" si="60"/>
        <v>12159005.09030731</v>
      </c>
      <c r="V43" s="19">
        <f t="shared" si="60"/>
        <v>12528605.064143447</v>
      </c>
      <c r="W43" s="19">
        <f t="shared" si="60"/>
        <v>12903929.217574369</v>
      </c>
      <c r="X43" s="19">
        <f t="shared" si="60"/>
        <v>13285066.203831557</v>
      </c>
      <c r="Y43" s="19">
        <f t="shared" si="60"/>
        <v>13672106.049163399</v>
      </c>
      <c r="Z43" s="19">
        <f t="shared" si="60"/>
        <v>14065140.174099822</v>
      </c>
      <c r="AA43" s="19">
        <f t="shared" si="60"/>
        <v>14464261.415046196</v>
      </c>
      <c r="AB43" s="19">
        <f t="shared" si="60"/>
        <v>14869564.046211729</v>
      </c>
      <c r="AC43" s="19">
        <f t="shared" si="60"/>
        <v>15281143.801877435</v>
      </c>
    </row>
    <row r="44" spans="1:29" x14ac:dyDescent="0.2">
      <c r="A44" s="4" t="s">
        <v>57</v>
      </c>
      <c r="B44" s="19">
        <f t="shared" ref="B44" si="61">IF(SUM(B41:B42)&lt;0,SUM(B41:B42),0)</f>
        <v>-16245000</v>
      </c>
      <c r="C44" s="19">
        <f t="shared" ref="C44" si="62">IF(SUM(C41:C42)&lt;0,SUM(C41:C42),0)</f>
        <v>-7245000</v>
      </c>
      <c r="D44" s="19">
        <f t="shared" ref="D44" si="63">IF(SUM(D41:D42)&lt;0,SUM(D41:D42),0)</f>
        <v>-7245000</v>
      </c>
      <c r="E44" s="19">
        <f t="shared" ref="E44" si="64">IF(SUM(E41:E42)&lt;0,SUM(E41:E42),0)</f>
        <v>-9754500</v>
      </c>
      <c r="F44" s="19">
        <f>IF(SUM(F41:F42)&lt;0,SUM(F41:F42),SUM(F41:F42)*1/(1+Предпосылки!$E$22/12)^F29)</f>
        <v>7154088.7010432193</v>
      </c>
      <c r="G44" s="19">
        <f>IF(SUM(G41:G42)&lt;0,SUM(G41:G42),SUM(G41:G42)*1/(1+Предпосылки!$E$22/12)^G29)</f>
        <v>7349880.9810753847</v>
      </c>
      <c r="H44" s="19">
        <f>IF(SUM(H41:H42)&lt;0,SUM(H41:H42),SUM(H41:H42)*1/(1+Предпосылки!$E$22/12)^H29)</f>
        <v>7543962.8293916686</v>
      </c>
      <c r="I44" s="19">
        <f>IF(SUM(I41:I42)&lt;0,SUM(I41:I42),SUM(I41:I42)*1/(1+Предпосылки!$E$22/12)^I29)</f>
        <v>7736357.8759658467</v>
      </c>
      <c r="J44" s="19">
        <f>IF(SUM(J41:J42)&lt;0,SUM(J41:J42),SUM(J41:J42)*1/(1+Предпосылки!$E$22/12)^J29)</f>
        <v>7927089.4577685148</v>
      </c>
      <c r="K44" s="19">
        <f>IF(SUM(K41:K42)&lt;0,SUM(K41:K42),SUM(K41:K42)*1/(1+Предпосылки!$E$22/12)^K29)</f>
        <v>8277934.2118021138</v>
      </c>
      <c r="L44" s="19">
        <f>IF(SUM(L41:L42)&lt;0,SUM(L41:L42),SUM(L41:L42)*1/(1+Предпосылки!$E$22/12)^L29)</f>
        <v>8303654.1321663531</v>
      </c>
      <c r="M44" s="19">
        <f>IF(SUM(M41:M42)&lt;0,SUM(M41:M42),SUM(M41:M42)*1/(1+Предпосылки!$E$22/12)^M29)</f>
        <v>8489532.4668841846</v>
      </c>
      <c r="N44" s="19">
        <f>IF(SUM(N41:N42)&lt;0,SUM(N41:N42),SUM(N41:N42)*1/(1+Предпосылки!$E$22/12)^N29)</f>
        <v>8673837.828272989</v>
      </c>
      <c r="O44" s="19">
        <f>IF(SUM(O41:O42)&lt;0,SUM(O41:O42),SUM(O41:O42)*1/(1+Предпосылки!$E$22/12)^O29)</f>
        <v>8856592.1430774461</v>
      </c>
      <c r="P44" s="19">
        <f>IF(SUM(P41:P42)&lt;0,SUM(P41:P42),SUM(P41:P42)*1/(1+Предпосылки!$E$22/12)^P29)</f>
        <v>9037817.0666351747</v>
      </c>
      <c r="Q44" s="19">
        <f>IF(SUM(Q41:Q42)&lt;0,SUM(Q41:Q42),SUM(Q41:Q42)*1/(1+Предпосылки!$E$22/12)^Q29)</f>
        <v>9217533.9863187894</v>
      </c>
      <c r="R44" s="19">
        <f>IF(SUM(R41:R42)&lt;0,SUM(R41:R42),SUM(R41:R42)*1/(1+Предпосылки!$E$23/12)^R29)</f>
        <v>237929.02422656654</v>
      </c>
      <c r="S44" s="19">
        <f>IF(SUM(S41:S42)&lt;0,SUM(S41:S42),SUM(S41:S42)*1/(1+Предпосылки!$E$23/12)^S29)</f>
        <v>9463132.0721458104</v>
      </c>
      <c r="T44" s="19">
        <f>IF(SUM(T41:T42)&lt;0,SUM(T41:T42),SUM(T41:T42)*1/(1+Предпосылки!$E$23/12)^T29)</f>
        <v>9628538.8927789703</v>
      </c>
      <c r="U44" s="19">
        <f>IF(SUM(U41:U42)&lt;0,SUM(U41:U42),SUM(U41:U42)*1/(1+Предпосылки!$E$23/12)^U29)</f>
        <v>9792261.385981014</v>
      </c>
      <c r="V44" s="19">
        <f>IF(SUM(V41:V42)&lt;0,SUM(V41:V42),SUM(V41:V42)*1/(1+Предпосылки!$E$23/12)^V29)</f>
        <v>9954323.1782199051</v>
      </c>
      <c r="W44" s="19">
        <f>IF(SUM(W41:W42)&lt;0,SUM(W41:W42),SUM(W41:W42)*1/(1+Предпосылки!$E$23/12)^W29)</f>
        <v>10114747.580278261</v>
      </c>
      <c r="X44" s="19">
        <f>IF(SUM(X41:X42)&lt;0,SUM(X41:X42),SUM(X41:X42)*1/(1+Предпосылки!$E$23/12)^X29)</f>
        <v>10273557.59149914</v>
      </c>
      <c r="Y44" s="19">
        <f>IF(SUM(Y41:Y42)&lt;0,SUM(Y41:Y42),SUM(Y41:Y42)*1/(1+Предпосылки!$E$23/12)^Y29)</f>
        <v>10430775.903974732</v>
      </c>
      <c r="Z44" s="19">
        <f>IF(SUM(Z41:Z42)&lt;0,SUM(Z41:Z42),SUM(Z41:Z42)*1/(1+Предпосылки!$E$24/12)^Z29)</f>
        <v>10586424.906678816</v>
      </c>
      <c r="AA44" s="19">
        <f>IF(SUM(AA41:AA42)&lt;0,SUM(AA41:AA42),SUM(AA41:AA42)*1/(1+Предпосылки!$E$24/12)^AA29)</f>
        <v>10740526.689543653</v>
      </c>
      <c r="AB44" s="19">
        <f>IF(SUM(AB41:AB42)&lt;0,SUM(AB41:AB42),SUM(AB41:AB42)*1/(1+Предпосылки!$E$24/12)^AB29)</f>
        <v>10893103.047482111</v>
      </c>
      <c r="AC44" s="19">
        <f>IF(SUM(AC41:AC42)&lt;0,SUM(AC41:AC42),SUM(AC41:AC42)*1/(1+Предпосылки!$E$24/12)^AC29)</f>
        <v>11044175.484355737</v>
      </c>
    </row>
    <row r="45" spans="1:29" x14ac:dyDescent="0.2">
      <c r="C45" s="19"/>
      <c r="E45" s="18"/>
    </row>
    <row r="46" spans="1:29" x14ac:dyDescent="0.2">
      <c r="A46" s="63" t="s">
        <v>56</v>
      </c>
      <c r="B46" s="64">
        <f>SUM(B44:AC44)</f>
        <v>171238277.4375664</v>
      </c>
      <c r="D46" s="19"/>
      <c r="E46" s="19"/>
      <c r="M46" s="19"/>
    </row>
    <row r="47" spans="1:29" x14ac:dyDescent="0.2">
      <c r="A47" s="63" t="s">
        <v>59</v>
      </c>
      <c r="B47" s="64">
        <v>6</v>
      </c>
    </row>
    <row r="48" spans="1:29" x14ac:dyDescent="0.2">
      <c r="A48" s="62" t="s">
        <v>63</v>
      </c>
      <c r="B48" s="64">
        <f>SUM(B39:AC39)</f>
        <v>202860000</v>
      </c>
    </row>
    <row r="49" spans="1:29" x14ac:dyDescent="0.2">
      <c r="A49" s="62" t="s">
        <v>125</v>
      </c>
      <c r="B49" s="84">
        <f>(SUM(B43:AC43)-SUM(B38:AC39))/SUM(B38:AC39)*100%</f>
        <v>-3.2041510461368501E-2</v>
      </c>
    </row>
    <row r="50" spans="1:29" x14ac:dyDescent="0.2">
      <c r="A50" s="62" t="s">
        <v>64</v>
      </c>
      <c r="B50" s="57">
        <f>IRR(B43:AC43)</f>
        <v>0.15979541649822093</v>
      </c>
    </row>
    <row r="51" spans="1:29" x14ac:dyDescent="0.2">
      <c r="A51" s="62" t="s">
        <v>163</v>
      </c>
      <c r="B51" s="101">
        <f>(F30^AC29+G30^AB29+H30^AA29+I30^I29+J30^Y29+K30^X29+L30^W29+M30^V29+N30^U29+O30^T29+P30^S29+Q30^R29+R30^Q29+S30^P29+T30^O29+U30^N29+V30^M29+W30^L29+X30^J29+Y30^I29+Z30^H29+AA30^G29+AB30^F29+AC30^Z29+AC29)*Предпосылки!$E$2/SUM('Cash Flow'!B38:AC40)</f>
        <v>6.4857667154844947</v>
      </c>
    </row>
    <row r="53" spans="1:29" x14ac:dyDescent="0.2">
      <c r="A53" s="105" t="s">
        <v>60</v>
      </c>
      <c r="B53" s="106"/>
      <c r="C53" s="106"/>
      <c r="D53" s="106"/>
      <c r="E53" s="106"/>
      <c r="F53" s="106"/>
      <c r="G53" s="106"/>
      <c r="H53" s="107"/>
      <c r="I53" s="23"/>
      <c r="J53" s="23"/>
      <c r="K53" s="23"/>
      <c r="L53" s="23"/>
      <c r="M53" s="24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 x14ac:dyDescent="0.2">
      <c r="A54" s="22"/>
      <c r="B54" s="25">
        <v>46023</v>
      </c>
      <c r="C54" s="25">
        <v>46054</v>
      </c>
      <c r="D54" s="25">
        <v>46082</v>
      </c>
      <c r="E54" s="25">
        <v>46113</v>
      </c>
      <c r="F54" s="25">
        <v>46143</v>
      </c>
      <c r="G54" s="25">
        <v>46174</v>
      </c>
      <c r="H54" s="25">
        <v>46204</v>
      </c>
      <c r="I54" s="25">
        <v>46235</v>
      </c>
      <c r="J54" s="25">
        <v>46266</v>
      </c>
      <c r="K54" s="25">
        <v>46296</v>
      </c>
      <c r="L54" s="25">
        <v>46327</v>
      </c>
      <c r="M54" s="25">
        <v>46357</v>
      </c>
      <c r="N54" s="25">
        <v>46388</v>
      </c>
      <c r="O54" s="25">
        <v>46419</v>
      </c>
      <c r="P54" s="25">
        <v>46447</v>
      </c>
      <c r="Q54" s="25">
        <v>46478</v>
      </c>
      <c r="R54" s="25">
        <v>46508</v>
      </c>
      <c r="S54" s="25">
        <v>46539</v>
      </c>
      <c r="T54" s="25">
        <v>46569</v>
      </c>
      <c r="U54" s="25">
        <v>46600</v>
      </c>
      <c r="V54" s="25">
        <v>46631</v>
      </c>
      <c r="W54" s="25">
        <v>46661</v>
      </c>
      <c r="X54" s="25">
        <v>46692</v>
      </c>
      <c r="Y54" s="25">
        <v>46722</v>
      </c>
      <c r="Z54" s="25">
        <v>46753</v>
      </c>
      <c r="AA54" s="25">
        <v>46784</v>
      </c>
      <c r="AB54" s="25">
        <v>46813</v>
      </c>
      <c r="AC54" s="25">
        <v>46844</v>
      </c>
    </row>
    <row r="55" spans="1:29" ht="17" x14ac:dyDescent="0.2">
      <c r="A55" s="26" t="s">
        <v>15</v>
      </c>
      <c r="B55" s="27"/>
      <c r="C55" s="27"/>
      <c r="D55" s="27"/>
      <c r="E55" s="27"/>
      <c r="F55" s="27">
        <v>1</v>
      </c>
      <c r="G55" s="27">
        <v>2</v>
      </c>
      <c r="H55" s="27">
        <v>3</v>
      </c>
      <c r="I55" s="27">
        <v>4</v>
      </c>
      <c r="J55" s="27">
        <v>5</v>
      </c>
      <c r="K55" s="93">
        <v>6</v>
      </c>
      <c r="L55" s="27">
        <v>7</v>
      </c>
      <c r="M55" s="27">
        <v>8</v>
      </c>
      <c r="N55" s="93">
        <v>9</v>
      </c>
      <c r="O55" s="27">
        <v>10</v>
      </c>
      <c r="P55" s="27">
        <v>11</v>
      </c>
      <c r="Q55" s="27">
        <v>12</v>
      </c>
      <c r="R55" s="93">
        <v>13</v>
      </c>
      <c r="S55" s="27">
        <v>14</v>
      </c>
      <c r="T55" s="27">
        <v>15</v>
      </c>
      <c r="U55" s="27">
        <v>16</v>
      </c>
      <c r="V55" s="27">
        <v>17</v>
      </c>
      <c r="W55" s="93">
        <v>18</v>
      </c>
      <c r="X55" s="27">
        <v>19</v>
      </c>
      <c r="Y55" s="27">
        <v>20</v>
      </c>
      <c r="Z55" s="27">
        <v>21</v>
      </c>
      <c r="AA55" s="27">
        <v>22</v>
      </c>
      <c r="AB55" s="27">
        <v>23</v>
      </c>
      <c r="AC55" s="27">
        <v>24</v>
      </c>
    </row>
    <row r="56" spans="1:29" ht="17" x14ac:dyDescent="0.2">
      <c r="A56" s="26" t="s">
        <v>123</v>
      </c>
      <c r="B56" s="28">
        <v>0</v>
      </c>
      <c r="C56" s="28">
        <v>0</v>
      </c>
      <c r="D56" s="28">
        <v>0</v>
      </c>
      <c r="E56" s="28">
        <v>0</v>
      </c>
      <c r="F56" s="28">
        <v>0.05</v>
      </c>
      <c r="G56" s="28">
        <f>F56*(1+Предпосылки!$C$18/20)</f>
        <v>5.077437500000001E-2</v>
      </c>
      <c r="H56" s="28">
        <f>G56*(1+Предпосылки!$C$18/20)</f>
        <v>5.1560743132812517E-2</v>
      </c>
      <c r="I56" s="28">
        <f>H56*(1+Предпосылки!$C$18/20)</f>
        <v>5.2359290142081953E-2</v>
      </c>
      <c r="J56" s="28">
        <f>I56*(1+Предпосылки!$C$18/20)</f>
        <v>5.317020464815745E-2</v>
      </c>
      <c r="K56" s="28">
        <f>J56*(1+Предпосылки!$C$18/20)</f>
        <v>5.3993678192645791E-2</v>
      </c>
      <c r="L56" s="28">
        <f>K56*(1+Предпосылки!$C$18/20)</f>
        <v>5.4829905283654397E-2</v>
      </c>
      <c r="M56" s="28">
        <f>L56*(1+Предпосылки!$C$18/20)</f>
        <v>5.5679083441735E-2</v>
      </c>
      <c r="N56" s="28">
        <f>M56*(1+Предпосылки!$C$18/20)</f>
        <v>5.6541413246538878E-2</v>
      </c>
      <c r="O56" s="28">
        <f>N56*(1+Предпосылки!$C$18/20)</f>
        <v>5.7417098384194655E-2</v>
      </c>
      <c r="P56" s="28">
        <f>O56*(1+Предпосылки!$C$18/20)</f>
        <v>5.8306345695419877E-2</v>
      </c>
      <c r="Q56" s="28">
        <f>P56*(1+Предпосылки!$C$18/20)</f>
        <v>5.9209365224377697E-2</v>
      </c>
      <c r="R56" s="28">
        <f>Q56*(1+Предпосылки!$C$18/20)</f>
        <v>6.012637026829025E-2</v>
      </c>
      <c r="S56" s="28">
        <f>R56*(1+Предпосылки!$C$18/20)</f>
        <v>6.1057577427820399E-2</v>
      </c>
      <c r="T56" s="28">
        <f>S56*(1+Предпосылки!$C$18/20)</f>
        <v>6.2003206658233771E-2</v>
      </c>
      <c r="U56" s="28">
        <f>T56*(1+Предпосылки!$C$18/20)</f>
        <v>6.2963481321353168E-2</v>
      </c>
      <c r="V56" s="28">
        <f>U56*(1+Предпосылки!$C$18/20)</f>
        <v>6.3938628238317627E-2</v>
      </c>
      <c r="W56" s="28">
        <f>V56*(1+Предпосылки!$C$18/20)</f>
        <v>6.4928877743158572E-2</v>
      </c>
      <c r="X56" s="28">
        <f>W56*(1+Предпосылки!$C$18/20)</f>
        <v>6.5934463737205753E-2</v>
      </c>
      <c r="Y56" s="28">
        <f>X56*(1+Предпосылки!$C$18/20)</f>
        <v>6.6955623744335738E-2</v>
      </c>
      <c r="Z56" s="28">
        <f>Y56*(1+Предпосылки!$C$18/20)</f>
        <v>6.7992598967076143E-2</v>
      </c>
      <c r="AA56" s="28">
        <f>Z56*(1+Предпосылки!$C$18/20)</f>
        <v>6.9045634343578743E-2</v>
      </c>
      <c r="AB56" s="28">
        <f>AA56*(1+Предпосылки!$C$18/20)</f>
        <v>7.0114978605474929E-2</v>
      </c>
      <c r="AC56" s="28">
        <f>AB56*(1+Предпосылки!$C$18/20)</f>
        <v>7.1200884336627232E-2</v>
      </c>
    </row>
    <row r="57" spans="1:29" ht="17" x14ac:dyDescent="0.2">
      <c r="A57" s="83" t="str">
        <f>A31</f>
        <v>Брендированные плейлисты/каналы</v>
      </c>
      <c r="B57" s="91"/>
      <c r="C57" s="91"/>
      <c r="D57" s="91"/>
      <c r="E57" s="91"/>
      <c r="F57" s="16">
        <f>Предпосылки!$G$6*F$56</f>
        <v>500000</v>
      </c>
      <c r="G57" s="16">
        <f>Предпосылки!$G$6*G$56</f>
        <v>507743.75000000012</v>
      </c>
      <c r="H57" s="16">
        <f>Предпосылки!$G$6*H$56</f>
        <v>515607.43132812518</v>
      </c>
      <c r="I57" s="16">
        <f>Предпосылки!$G$6*I$56</f>
        <v>523592.90142081951</v>
      </c>
      <c r="J57" s="16">
        <f>Предпосылки!$G$6*J$56</f>
        <v>531702.04648157454</v>
      </c>
      <c r="K57" s="16">
        <f>Предпосылки!$G$6*K$56</f>
        <v>539936.78192645789</v>
      </c>
      <c r="L57" s="16">
        <f>Предпосылки!$G$6*L$56</f>
        <v>548299.052836544</v>
      </c>
      <c r="M57" s="16">
        <f>Предпосылки!$G$6*M$56</f>
        <v>556790.83441735001</v>
      </c>
      <c r="N57" s="16">
        <f>Предпосылки!$G$6*N$56</f>
        <v>565414.13246538874</v>
      </c>
      <c r="O57" s="16">
        <f>Предпосылки!$G$6*O$56</f>
        <v>574170.98384194658</v>
      </c>
      <c r="P57" s="16">
        <f>Предпосылки!$G$6*P$56</f>
        <v>583063.45695419877</v>
      </c>
      <c r="Q57" s="16">
        <f>Предпосылки!$G$6*Q$56</f>
        <v>592093.65224377695</v>
      </c>
      <c r="R57" s="16">
        <f>Предпосылки!$G$6*R$56</f>
        <v>601263.70268290245</v>
      </c>
      <c r="S57" s="16">
        <f>Предпосылки!$G$6*S$56</f>
        <v>610575.77427820396</v>
      </c>
      <c r="T57" s="16">
        <f>Предпосылки!$G$6*T$56</f>
        <v>620032.06658233772</v>
      </c>
      <c r="U57" s="16">
        <f>Предпосылки!$G$6*U$56</f>
        <v>629634.81321353163</v>
      </c>
      <c r="V57" s="16">
        <f>Предпосылки!$G$6*V$56</f>
        <v>639386.28238317627</v>
      </c>
      <c r="W57" s="16">
        <f>Предпосылки!$G$6*W$56</f>
        <v>649288.77743158571</v>
      </c>
      <c r="X57" s="16">
        <f>Предпосылки!$G$6*X$56</f>
        <v>659344.63737205754</v>
      </c>
      <c r="Y57" s="16">
        <f>Предпосылки!$G$6*Y$56</f>
        <v>669556.23744335736</v>
      </c>
      <c r="Z57" s="16">
        <f>Предпосылки!$G$6*Z$56</f>
        <v>679925.9896707614</v>
      </c>
      <c r="AA57" s="16">
        <f>Предпосылки!$G$6*AA$56</f>
        <v>690456.34343578748</v>
      </c>
      <c r="AB57" s="16">
        <f>Предпосылки!$G$6*AB$56</f>
        <v>701149.78605474927</v>
      </c>
      <c r="AC57" s="16">
        <f>Предпосылки!$G$6*AC$56</f>
        <v>712008.84336627228</v>
      </c>
    </row>
    <row r="58" spans="1:29" ht="17" x14ac:dyDescent="0.2">
      <c r="A58" s="83" t="str">
        <f>A32</f>
        <v>Реклама перед/после видео</v>
      </c>
      <c r="B58" s="16"/>
      <c r="C58" s="16"/>
      <c r="D58" s="16"/>
      <c r="E58" s="16"/>
      <c r="F58" s="16">
        <f>Предпосылки!$G$8*F$56</f>
        <v>99674.999999999956</v>
      </c>
      <c r="G58" s="16">
        <f>Предпосылки!$G$8*G$56</f>
        <v>101218.71656249998</v>
      </c>
      <c r="H58" s="16">
        <f>Предпосылки!$G$8*H$56</f>
        <v>102786.34143526171</v>
      </c>
      <c r="I58" s="16">
        <f>Предпосылки!$G$8*I$56</f>
        <v>104378.24489824033</v>
      </c>
      <c r="J58" s="16">
        <f>Предпосылки!$G$8*J$56</f>
        <v>105994.80296610182</v>
      </c>
      <c r="K58" s="16">
        <f>Предпосылки!$G$8*K$56</f>
        <v>107636.39747703934</v>
      </c>
      <c r="L58" s="16">
        <f>Предпосылки!$G$8*L$56</f>
        <v>109303.41618296498</v>
      </c>
      <c r="M58" s="16">
        <f>Предпосылки!$G$8*M$56</f>
        <v>110996.25284109867</v>
      </c>
      <c r="N58" s="16">
        <f>Предпосылки!$G$8*N$56</f>
        <v>112715.3073069752</v>
      </c>
      <c r="O58" s="16">
        <f>Предпосылки!$G$8*O$56</f>
        <v>114460.985628892</v>
      </c>
      <c r="P58" s="16">
        <f>Предпосылки!$G$8*P$56</f>
        <v>116233.70014381947</v>
      </c>
      <c r="Q58" s="16">
        <f>Предпосылки!$G$8*Q$56</f>
        <v>118033.86957479689</v>
      </c>
      <c r="R58" s="16">
        <f>Предпосылки!$G$8*R$56</f>
        <v>119861.91912983656</v>
      </c>
      <c r="S58" s="16">
        <f>Предпосылки!$G$8*S$56</f>
        <v>121718.28060235991</v>
      </c>
      <c r="T58" s="16">
        <f>Предпосылки!$G$8*T$56</f>
        <v>123603.39247318897</v>
      </c>
      <c r="U58" s="16">
        <f>Предпосылки!$G$8*U$56</f>
        <v>125517.70001411748</v>
      </c>
      <c r="V58" s="16">
        <f>Предпосылки!$G$8*V$56</f>
        <v>127461.65539308613</v>
      </c>
      <c r="W58" s="16">
        <f>Предпосылки!$G$8*W$56</f>
        <v>129435.71778098655</v>
      </c>
      <c r="X58" s="16">
        <f>Предпосылки!$G$8*X$56</f>
        <v>131440.3534601196</v>
      </c>
      <c r="Y58" s="16">
        <f>Предпосылки!$G$8*Y$56</f>
        <v>133476.03593433322</v>
      </c>
      <c r="Z58" s="16">
        <f>Предпосылки!$G$8*Z$56</f>
        <v>135543.24604086622</v>
      </c>
      <c r="AA58" s="16">
        <f>Предпосылки!$G$8*AA$56</f>
        <v>137642.47206392416</v>
      </c>
      <c r="AB58" s="16">
        <f>Предпосылки!$G$8*AB$56</f>
        <v>139774.20985001422</v>
      </c>
      <c r="AC58" s="16">
        <f>Предпосылки!$G$8*AC$56</f>
        <v>141938.96292506633</v>
      </c>
    </row>
    <row r="59" spans="1:29" ht="17" x14ac:dyDescent="0.2">
      <c r="A59" s="83" t="str">
        <f>A33</f>
        <v>Спонсорские интеграции в шоу</v>
      </c>
      <c r="B59" s="16"/>
      <c r="C59" s="16"/>
      <c r="D59" s="16"/>
      <c r="E59" s="16"/>
      <c r="F59" s="16">
        <f>Предпосылки!$G$7*F$56</f>
        <v>2250000</v>
      </c>
      <c r="G59" s="16">
        <f>Предпосылки!$G$7*G$56</f>
        <v>2284846.8750000005</v>
      </c>
      <c r="H59" s="16">
        <f>Предпосылки!$G$7*H$56</f>
        <v>2320233.4409765634</v>
      </c>
      <c r="I59" s="16">
        <f>Предпосылки!$G$7*I$56</f>
        <v>2356168.0563936881</v>
      </c>
      <c r="J59" s="16">
        <f>Предпосылки!$G$7*J$56</f>
        <v>2392659.2091670851</v>
      </c>
      <c r="K59" s="16">
        <f>Предпосылки!$G$7*K$56</f>
        <v>2429715.5186690604</v>
      </c>
      <c r="L59" s="16">
        <f>Предпосылки!$G$7*L$56</f>
        <v>2467345.7377644479</v>
      </c>
      <c r="M59" s="16">
        <f>Предпосылки!$G$7*M$56</f>
        <v>2505558.7548780749</v>
      </c>
      <c r="N59" s="16">
        <f>Предпосылки!$G$7*N$56</f>
        <v>2544363.5960942497</v>
      </c>
      <c r="O59" s="16">
        <f>Предпосылки!$G$7*O$56</f>
        <v>2583769.4272887595</v>
      </c>
      <c r="P59" s="16">
        <f>Предпосылки!$G$7*P$56</f>
        <v>2623785.5562938945</v>
      </c>
      <c r="Q59" s="16">
        <f>Предпосылки!$G$7*Q$56</f>
        <v>2664421.4350969964</v>
      </c>
      <c r="R59" s="16">
        <f>Предпосылки!$G$7*R$56</f>
        <v>2705686.6620730613</v>
      </c>
      <c r="S59" s="16">
        <f>Предпосылки!$G$7*S$56</f>
        <v>2747590.9842519178</v>
      </c>
      <c r="T59" s="16">
        <f>Предпосылки!$G$7*T$56</f>
        <v>2790144.2996205199</v>
      </c>
      <c r="U59" s="16">
        <f>Предпосылки!$G$7*U$56</f>
        <v>2833356.6594608924</v>
      </c>
      <c r="V59" s="16">
        <f>Предпосылки!$G$7*V$56</f>
        <v>2877238.2707242933</v>
      </c>
      <c r="W59" s="16">
        <f>Предпосылки!$G$7*W$56</f>
        <v>2921799.4984421358</v>
      </c>
      <c r="X59" s="16">
        <f>Предпосылки!$G$7*X$56</f>
        <v>2967050.8681742591</v>
      </c>
      <c r="Y59" s="16">
        <f>Предпосылки!$G$7*Y$56</f>
        <v>3013003.0684951083</v>
      </c>
      <c r="Z59" s="16">
        <f>Предпосылки!$G$7*Z$56</f>
        <v>3059666.9535184265</v>
      </c>
      <c r="AA59" s="16">
        <f>Предпосылки!$G$7*AA$56</f>
        <v>3107053.5454610432</v>
      </c>
      <c r="AB59" s="16">
        <f>Предпосылки!$G$7*AB$56</f>
        <v>3155174.0372463716</v>
      </c>
      <c r="AC59" s="16">
        <f>Предпосылки!$G$7*AC$56</f>
        <v>3204039.7951482255</v>
      </c>
    </row>
    <row r="60" spans="1:29" ht="17" x14ac:dyDescent="0.2">
      <c r="A60" s="83" t="str">
        <f>A34</f>
        <v>реклама от авторов</v>
      </c>
      <c r="B60" s="16"/>
      <c r="C60" s="16"/>
      <c r="D60" s="16"/>
      <c r="E60" s="16"/>
      <c r="F60" s="16">
        <f>Предпосылки!$G$9*F$56</f>
        <v>5315.9999999999991</v>
      </c>
      <c r="G60" s="16">
        <f>Предпосылки!$G$9*G$56</f>
        <v>5398.3315499999999</v>
      </c>
      <c r="H60" s="16">
        <f>Предпосылки!$G$9*H$56</f>
        <v>5481.9382098806254</v>
      </c>
      <c r="I60" s="16">
        <f>Предпосылки!$G$9*I$56</f>
        <v>5566.8397279061519</v>
      </c>
      <c r="J60" s="16">
        <f>Предпосылки!$G$9*J$56</f>
        <v>5653.0561581920983</v>
      </c>
      <c r="K60" s="16">
        <f>Предпосылки!$G$9*K$56</f>
        <v>5740.607865442099</v>
      </c>
      <c r="L60" s="16">
        <f>Предпосылки!$G$9*L$56</f>
        <v>5829.5155297581341</v>
      </c>
      <c r="M60" s="16">
        <f>Предпосылки!$G$9*M$56</f>
        <v>5919.8001515252636</v>
      </c>
      <c r="N60" s="16">
        <f>Предпосылки!$G$9*N$56</f>
        <v>6011.4830563720116</v>
      </c>
      <c r="O60" s="16">
        <f>Предпосылки!$G$9*O$56</f>
        <v>6104.585900207574</v>
      </c>
      <c r="P60" s="16">
        <f>Предпосылки!$G$9*P$56</f>
        <v>6199.1306743370396</v>
      </c>
      <c r="Q60" s="16">
        <f>Предпосылки!$G$9*Q$56</f>
        <v>6295.1397106558352</v>
      </c>
      <c r="R60" s="16">
        <f>Предпосылки!$G$9*R$56</f>
        <v>6392.6356869246174</v>
      </c>
      <c r="S60" s="16">
        <f>Предпосылки!$G$9*S$56</f>
        <v>6491.641632125863</v>
      </c>
      <c r="T60" s="16">
        <f>Предпосылки!$G$9*T$56</f>
        <v>6592.1809319034128</v>
      </c>
      <c r="U60" s="16">
        <f>Предпосылки!$G$9*U$56</f>
        <v>6694.2773340862668</v>
      </c>
      <c r="V60" s="16">
        <f>Предпосылки!$G$9*V$56</f>
        <v>6797.9549542979285</v>
      </c>
      <c r="W60" s="16">
        <f>Предпосылки!$G$9*W$56</f>
        <v>6903.2382816526178</v>
      </c>
      <c r="X60" s="16">
        <f>Предпосылки!$G$9*X$56</f>
        <v>7010.1521845397137</v>
      </c>
      <c r="Y60" s="16">
        <f>Предпосылки!$G$9*Y$56</f>
        <v>7118.7219164977732</v>
      </c>
      <c r="Z60" s="16">
        <f>Предпосылки!$G$9*Z$56</f>
        <v>7228.9731221795337</v>
      </c>
      <c r="AA60" s="16">
        <f>Предпосылки!$G$9*AA$56</f>
        <v>7340.9318434092902</v>
      </c>
      <c r="AB60" s="16">
        <f>Предпосылки!$G$9*AB$56</f>
        <v>7454.6245253340921</v>
      </c>
      <c r="AC60" s="16">
        <f>Предпосылки!$G$9*AC$56</f>
        <v>7570.0780226702054</v>
      </c>
    </row>
    <row r="61" spans="1:29" ht="17" x14ac:dyDescent="0.2">
      <c r="A61" s="83" t="str">
        <f>A35</f>
        <v xml:space="preserve">Подписка на "без рекламы" </v>
      </c>
      <c r="B61" s="16"/>
      <c r="C61" s="16"/>
      <c r="D61" s="16"/>
      <c r="E61" s="16"/>
      <c r="F61" s="16">
        <f>Предпосылки!$G$11*F$56</f>
        <v>0</v>
      </c>
      <c r="G61" s="16">
        <f>Предпосылки!$G$11*G$56</f>
        <v>0</v>
      </c>
      <c r="H61" s="16">
        <f>Предпосылки!$G$11*H$56</f>
        <v>0</v>
      </c>
      <c r="I61" s="16">
        <f>Предпосылки!$G$11*I$56</f>
        <v>0</v>
      </c>
      <c r="J61" s="16">
        <f>Предпосылки!$G$11*J$56</f>
        <v>0</v>
      </c>
      <c r="K61" s="16">
        <f>Предпосылки!$G$11*K$56</f>
        <v>0</v>
      </c>
      <c r="L61" s="16">
        <f>Предпосылки!$G$11*L$56</f>
        <v>0</v>
      </c>
      <c r="M61" s="16">
        <f>Предпосылки!$G$11*M$56</f>
        <v>0</v>
      </c>
      <c r="N61" s="16">
        <f>Предпосылки!$G$11*N$56</f>
        <v>0</v>
      </c>
      <c r="O61" s="16">
        <f>Предпосылки!$G$11*O$56</f>
        <v>0</v>
      </c>
      <c r="P61" s="16">
        <f>Предпосылки!$G$11*P$56</f>
        <v>0</v>
      </c>
      <c r="Q61" s="16">
        <f>Предпосылки!$G$11*Q$56</f>
        <v>0</v>
      </c>
      <c r="R61" s="16">
        <f>Предпосылки!$G$11*R$56</f>
        <v>0</v>
      </c>
      <c r="S61" s="16">
        <f>Предпосылки!$G$11*S$56</f>
        <v>0</v>
      </c>
      <c r="T61" s="16">
        <f>Предпосылки!$G$11*T$56</f>
        <v>0</v>
      </c>
      <c r="U61" s="16">
        <f>Предпосылки!$G$11*U$56</f>
        <v>0</v>
      </c>
      <c r="V61" s="16">
        <f>Предпосылки!$G$11*V$56</f>
        <v>0</v>
      </c>
      <c r="W61" s="16">
        <f>Предпосылки!$G$11*W$56</f>
        <v>0</v>
      </c>
      <c r="X61" s="16">
        <f>Предпосылки!$G$11*X$56</f>
        <v>0</v>
      </c>
      <c r="Y61" s="16">
        <f>Предпосылки!$G$11*Y$56</f>
        <v>0</v>
      </c>
      <c r="Z61" s="16">
        <f>Предпосылки!$G$11*Z$56</f>
        <v>0</v>
      </c>
      <c r="AA61" s="16">
        <f>Предпосылки!$G$11*AA$56</f>
        <v>0</v>
      </c>
      <c r="AB61" s="16">
        <f>Предпосылки!$G$11*AB$56</f>
        <v>0</v>
      </c>
      <c r="AC61" s="16">
        <f>Предпосылки!$G$11*AC$56</f>
        <v>0</v>
      </c>
    </row>
    <row r="62" spans="1:29" x14ac:dyDescent="0.2">
      <c r="A62" s="108" t="str">
        <f>Предпосылки!B10</f>
        <v>Просмотры контента от онлайн школ</v>
      </c>
      <c r="B62" s="16"/>
      <c r="C62" s="16"/>
      <c r="D62" s="16"/>
      <c r="E62" s="16"/>
      <c r="F62" s="16">
        <f>Предпосылки!$G$10*'Cash Flow'!F$56*Предпосылки!$C$14*0.7</f>
        <v>9056250</v>
      </c>
      <c r="G62" s="16">
        <f>Предпосылки!$G$10*'Cash Flow'!G$56*Предпосылки!$C$14*0.7</f>
        <v>9196508.671875</v>
      </c>
      <c r="H62" s="16">
        <f>Предпосылки!$G$10*'Cash Flow'!H$56*Предпосылки!$C$14*0.7</f>
        <v>9338939.5999306664</v>
      </c>
      <c r="I62" s="16">
        <f>Предпосылки!$G$10*'Cash Flow'!I$56*Предпосылки!$C$14*0.7</f>
        <v>9483576.4269845933</v>
      </c>
      <c r="J62" s="16">
        <f>Предпосылки!$G$10*'Cash Flow'!J$56*Предпосылки!$C$14*0.7</f>
        <v>9630453.3168975171</v>
      </c>
      <c r="K62" s="16">
        <f>Предпосылки!$G$10*'Cash Flow'!K$56*Предпосылки!$C$14*0.7</f>
        <v>9779604.9626429696</v>
      </c>
      <c r="L62" s="16">
        <f>Предпосылки!$G$10*'Cash Flow'!L$56*Предпосылки!$C$14*0.7</f>
        <v>9931066.5945019014</v>
      </c>
      <c r="M62" s="16">
        <f>Предпосылки!$G$10*'Cash Flow'!M$56*Предпосылки!$C$14*0.7</f>
        <v>10084873.988384251</v>
      </c>
      <c r="N62" s="16">
        <f>Предпосылки!$G$10*'Cash Flow'!N$56*Предпосылки!$C$14*0.7</f>
        <v>10241063.474279355</v>
      </c>
      <c r="O62" s="16">
        <f>Предпосылки!$G$10*'Cash Flow'!O$56*Предпосылки!$C$14*0.7</f>
        <v>10399671.944837257</v>
      </c>
      <c r="P62" s="16">
        <f>Предпосылки!$G$10*'Cash Flow'!P$56*Предпосылки!$C$14*0.7</f>
        <v>10560736.864082923</v>
      </c>
      <c r="Q62" s="16">
        <f>Предпосылки!$G$10*'Cash Flow'!Q$56*Предпосылки!$C$14*0.7</f>
        <v>10724296.276265409</v>
      </c>
      <c r="R62" s="16">
        <f>Предпосылки!$G$10*'Cash Flow'!R$56*Предпосылки!$C$14*0.7</f>
        <v>10890388.81484407</v>
      </c>
      <c r="S62" s="16">
        <f>Предпосылки!$G$10*'Cash Flow'!S$56*Предпосылки!$C$14*0.7</f>
        <v>11059053.711613968</v>
      </c>
      <c r="T62" s="16">
        <f>Предпосылки!$G$10*'Cash Flow'!T$56*Предпосылки!$C$14*0.7</f>
        <v>11230330.805972591</v>
      </c>
      <c r="U62" s="16">
        <f>Предпосылки!$G$10*'Cash Flow'!U$56*Предпосылки!$C$14*0.7</f>
        <v>11404260.554330092</v>
      </c>
      <c r="V62" s="16">
        <f>Предпосылки!$G$10*'Cash Flow'!V$56*Предпосылки!$C$14*0.7</f>
        <v>11580884.03966528</v>
      </c>
      <c r="W62" s="16">
        <f>Предпосылки!$G$10*'Cash Flow'!W$56*Предпосылки!$C$14*0.7</f>
        <v>11760242.981229594</v>
      </c>
      <c r="X62" s="16">
        <f>Предпосылки!$G$10*'Cash Flow'!X$56*Предпосылки!$C$14*0.7</f>
        <v>11942379.744401392</v>
      </c>
      <c r="Y62" s="16">
        <f>Предпосылки!$G$10*'Cash Flow'!Y$56*Предпосылки!$C$14*0.7</f>
        <v>12127337.350692809</v>
      </c>
      <c r="Z62" s="16">
        <f>Предпосылки!$G$10*'Cash Flow'!Z$56*Предпосылки!$C$14*0.7</f>
        <v>12315159.487911666</v>
      </c>
      <c r="AA62" s="16">
        <f>Предпосылки!$G$10*'Cash Flow'!AA$56*Предпосылки!$C$14*0.7</f>
        <v>12505890.5204807</v>
      </c>
      <c r="AB62" s="16">
        <f>Предпосылки!$G$10*'Cash Flow'!AB$56*Предпосылки!$C$14*0.7</f>
        <v>12699575.499916645</v>
      </c>
      <c r="AC62" s="16">
        <f>Предпосылки!$G$10*'Cash Flow'!AC$56*Предпосылки!$C$14*0.7</f>
        <v>12896260.175471604</v>
      </c>
    </row>
    <row r="63" spans="1:29" ht="17" x14ac:dyDescent="0.2">
      <c r="A63" s="29" t="s">
        <v>24</v>
      </c>
      <c r="B63" s="17">
        <f t="shared" ref="B63:E63" si="65">SUM(B58:B58)</f>
        <v>0</v>
      </c>
      <c r="C63" s="17">
        <f t="shared" si="65"/>
        <v>0</v>
      </c>
      <c r="D63" s="17">
        <f t="shared" si="65"/>
        <v>0</v>
      </c>
      <c r="E63" s="17">
        <f t="shared" si="65"/>
        <v>0</v>
      </c>
      <c r="F63" s="17">
        <f>SUM(F57:F62)</f>
        <v>11911241</v>
      </c>
      <c r="G63" s="17">
        <f t="shared" ref="G63:AC63" si="66">SUM(G57:G62)</f>
        <v>12095716.3449875</v>
      </c>
      <c r="H63" s="17">
        <f t="shared" si="66"/>
        <v>12283048.751880497</v>
      </c>
      <c r="I63" s="17">
        <f t="shared" si="66"/>
        <v>12473282.469425248</v>
      </c>
      <c r="J63" s="17">
        <f t="shared" si="66"/>
        <v>12666462.43167047</v>
      </c>
      <c r="K63" s="17">
        <f t="shared" si="66"/>
        <v>12862634.268580969</v>
      </c>
      <c r="L63" s="17">
        <f t="shared" si="66"/>
        <v>13061844.316815617</v>
      </c>
      <c r="M63" s="17">
        <f t="shared" si="66"/>
        <v>13264139.630672298</v>
      </c>
      <c r="N63" s="17">
        <f t="shared" si="66"/>
        <v>13469567.99320234</v>
      </c>
      <c r="O63" s="17">
        <f t="shared" si="66"/>
        <v>13678177.927497063</v>
      </c>
      <c r="P63" s="17">
        <f t="shared" si="66"/>
        <v>13890018.708149172</v>
      </c>
      <c r="Q63" s="17">
        <f t="shared" si="66"/>
        <v>14105140.372891635</v>
      </c>
      <c r="R63" s="17">
        <f t="shared" si="66"/>
        <v>14323593.734416794</v>
      </c>
      <c r="S63" s="17">
        <f t="shared" si="66"/>
        <v>14545430.392378576</v>
      </c>
      <c r="T63" s="17">
        <f t="shared" si="66"/>
        <v>14770702.745580541</v>
      </c>
      <c r="U63" s="17">
        <f t="shared" si="66"/>
        <v>14999464.004352719</v>
      </c>
      <c r="V63" s="17">
        <f t="shared" si="66"/>
        <v>15231768.203120133</v>
      </c>
      <c r="W63" s="17">
        <f t="shared" si="66"/>
        <v>15467670.213165954</v>
      </c>
      <c r="X63" s="17">
        <f t="shared" si="66"/>
        <v>15707225.755592369</v>
      </c>
      <c r="Y63" s="17">
        <f t="shared" si="66"/>
        <v>15950491.414482106</v>
      </c>
      <c r="Z63" s="17">
        <f t="shared" si="66"/>
        <v>16197524.6502639</v>
      </c>
      <c r="AA63" s="17">
        <f t="shared" si="66"/>
        <v>16448383.813284865</v>
      </c>
      <c r="AB63" s="17">
        <f t="shared" si="66"/>
        <v>16703128.157593114</v>
      </c>
      <c r="AC63" s="17">
        <f t="shared" si="66"/>
        <v>16961817.854933839</v>
      </c>
    </row>
    <row r="64" spans="1:29" ht="17" x14ac:dyDescent="0.2">
      <c r="A64" s="30" t="str">
        <f>Расходники!A2</f>
        <v>Капитальные затраты (CapEx)</v>
      </c>
      <c r="B64" s="31">
        <f>Расходники!C2*1000000</f>
        <v>9000000</v>
      </c>
      <c r="C64" s="31"/>
      <c r="D64" s="31"/>
      <c r="E64" s="31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1">
        <f>Расходники!C2*1000000</f>
        <v>9000000</v>
      </c>
      <c r="S64" s="31"/>
      <c r="T64" s="31"/>
      <c r="U64" s="31"/>
      <c r="V64" s="32"/>
      <c r="W64" s="32"/>
      <c r="X64" s="32"/>
      <c r="Y64" s="32"/>
      <c r="Z64" s="32"/>
      <c r="AA64" s="32"/>
      <c r="AB64" s="32"/>
      <c r="AC64" s="32"/>
    </row>
    <row r="65" spans="1:29" ht="17" x14ac:dyDescent="0.2">
      <c r="A65" s="95" t="str">
        <f>Расходники!A11</f>
        <v>Операционные расходы (OpEx)</v>
      </c>
      <c r="B65" s="19">
        <f>Расходники!C11</f>
        <v>7245000</v>
      </c>
      <c r="C65" s="19">
        <f t="shared" ref="C65" si="67">B65</f>
        <v>7245000</v>
      </c>
      <c r="D65" s="19">
        <f t="shared" ref="D65" si="68">C65</f>
        <v>7245000</v>
      </c>
      <c r="E65" s="19">
        <f t="shared" ref="E65" si="69">D65</f>
        <v>7245000</v>
      </c>
      <c r="F65" s="19">
        <f>E65</f>
        <v>7245000</v>
      </c>
      <c r="G65" s="19">
        <f t="shared" ref="G65" si="70">F65</f>
        <v>7245000</v>
      </c>
      <c r="H65" s="19">
        <f t="shared" ref="H65" si="71">G65</f>
        <v>7245000</v>
      </c>
      <c r="I65" s="19">
        <f t="shared" ref="I65" si="72">H65</f>
        <v>7245000</v>
      </c>
      <c r="J65" s="19">
        <f t="shared" ref="J65" si="73">I65</f>
        <v>7245000</v>
      </c>
      <c r="K65" s="19">
        <f t="shared" ref="K65" si="74">J65</f>
        <v>7245000</v>
      </c>
      <c r="L65" s="19">
        <f t="shared" ref="L65" si="75">K65</f>
        <v>7245000</v>
      </c>
      <c r="M65" s="19">
        <f t="shared" ref="M65" si="76">L65</f>
        <v>7245000</v>
      </c>
      <c r="N65" s="19">
        <f t="shared" ref="N65" si="77">M65</f>
        <v>7245000</v>
      </c>
      <c r="O65" s="19">
        <f t="shared" ref="O65" si="78">N65</f>
        <v>7245000</v>
      </c>
      <c r="P65" s="19">
        <f t="shared" ref="P65" si="79">O65</f>
        <v>7245000</v>
      </c>
      <c r="Q65" s="19">
        <f t="shared" ref="Q65" si="80">P65</f>
        <v>7245000</v>
      </c>
      <c r="R65" s="19">
        <f t="shared" ref="R65" si="81">Q65</f>
        <v>7245000</v>
      </c>
      <c r="S65" s="19">
        <f t="shared" ref="S65" si="82">R65</f>
        <v>7245000</v>
      </c>
      <c r="T65" s="19">
        <f t="shared" ref="T65" si="83">S65</f>
        <v>7245000</v>
      </c>
      <c r="U65" s="19">
        <f t="shared" ref="U65" si="84">T65</f>
        <v>7245000</v>
      </c>
      <c r="V65" s="19">
        <f t="shared" ref="V65" si="85">U65</f>
        <v>7245000</v>
      </c>
      <c r="W65" s="19">
        <f t="shared" ref="W65" si="86">V65</f>
        <v>7245000</v>
      </c>
      <c r="X65" s="19">
        <f t="shared" ref="X65" si="87">W65</f>
        <v>7245000</v>
      </c>
      <c r="Y65" s="19">
        <f t="shared" ref="Y65" si="88">X65</f>
        <v>7245000</v>
      </c>
      <c r="Z65" s="19">
        <f t="shared" ref="Z65" si="89">Y65</f>
        <v>7245000</v>
      </c>
      <c r="AA65" s="19">
        <f t="shared" ref="AA65" si="90">Z65</f>
        <v>7245000</v>
      </c>
      <c r="AB65" s="19">
        <f t="shared" ref="AB65" si="91">AA65</f>
        <v>7245000</v>
      </c>
      <c r="AC65" s="19">
        <f t="shared" ref="AC65" si="92">AB65</f>
        <v>7245000</v>
      </c>
    </row>
    <row r="66" spans="1:29" ht="17" x14ac:dyDescent="0.2">
      <c r="A66" s="86" t="s">
        <v>130</v>
      </c>
      <c r="B66" s="32"/>
      <c r="C66" s="32"/>
      <c r="D66" s="32"/>
      <c r="E66" s="32">
        <f>Расходники!$C$30</f>
        <v>2509500</v>
      </c>
      <c r="F66" s="32">
        <f>Расходники!$C$30</f>
        <v>2509500</v>
      </c>
      <c r="G66" s="32">
        <f>Расходники!$C$30</f>
        <v>2509500</v>
      </c>
      <c r="H66" s="32">
        <f>Расходники!$C$30</f>
        <v>2509500</v>
      </c>
      <c r="I66" s="32">
        <f>Расходники!$C$30</f>
        <v>2509500</v>
      </c>
      <c r="J66" s="32">
        <f>Расходники!$C$30</f>
        <v>2509500</v>
      </c>
      <c r="K66" s="32">
        <f>Расходники!$C$30</f>
        <v>2509500</v>
      </c>
      <c r="L66" s="32">
        <f>Расходники!$C$30</f>
        <v>2509500</v>
      </c>
      <c r="M66" s="32">
        <f>Расходники!$C$30</f>
        <v>2509500</v>
      </c>
      <c r="N66" s="32">
        <f>Расходники!$C$30</f>
        <v>2509500</v>
      </c>
      <c r="O66" s="32">
        <f>Расходники!$C$30</f>
        <v>2509500</v>
      </c>
      <c r="P66" s="32">
        <f>Расходники!$C$30</f>
        <v>2509500</v>
      </c>
      <c r="Q66" s="32">
        <f>Расходники!$C$30</f>
        <v>2509500</v>
      </c>
      <c r="R66" s="32">
        <f>Расходники!$C$30</f>
        <v>2509500</v>
      </c>
      <c r="S66" s="32">
        <f>Расходники!$C$30</f>
        <v>2509500</v>
      </c>
      <c r="T66" s="32">
        <f>Расходники!$C$30</f>
        <v>2509500</v>
      </c>
      <c r="U66" s="32">
        <f>Расходники!$C$30</f>
        <v>2509500</v>
      </c>
      <c r="V66" s="32">
        <f>Расходники!$C$30</f>
        <v>2509500</v>
      </c>
      <c r="W66" s="32">
        <f>Расходники!$C$30</f>
        <v>2509500</v>
      </c>
      <c r="X66" s="32">
        <f>Расходники!$C$30</f>
        <v>2509500</v>
      </c>
      <c r="Y66" s="32">
        <f>Расходники!$C$30</f>
        <v>2509500</v>
      </c>
      <c r="Z66" s="32">
        <f>Расходники!$C$30</f>
        <v>2509500</v>
      </c>
      <c r="AA66" s="32">
        <f>Расходники!$C$30</f>
        <v>2509500</v>
      </c>
      <c r="AB66" s="32">
        <f>Расходники!$C$30</f>
        <v>2509500</v>
      </c>
      <c r="AC66" s="32">
        <f>Расходники!$C$30</f>
        <v>2509500</v>
      </c>
    </row>
    <row r="67" spans="1:29" x14ac:dyDescent="0.2">
      <c r="A67" s="34" t="s">
        <v>66</v>
      </c>
      <c r="B67" s="19">
        <f>B63-B64-B65</f>
        <v>-16245000</v>
      </c>
      <c r="C67" s="19">
        <f>C63-C64-C65</f>
        <v>-7245000</v>
      </c>
      <c r="D67" s="19">
        <f>D63-D64-D65</f>
        <v>-7245000</v>
      </c>
      <c r="E67" s="19">
        <f>E63-E64-E65-E66</f>
        <v>-9754500</v>
      </c>
      <c r="F67" s="19">
        <f t="shared" ref="F67" si="93">F63-F64-F65-F66</f>
        <v>2156741</v>
      </c>
      <c r="G67" s="19">
        <f t="shared" ref="G67" si="94">G63-G64-G65-G66</f>
        <v>2341216.3449875005</v>
      </c>
      <c r="H67" s="19">
        <f t="shared" ref="H67" si="95">H63-H64-H65-H66</f>
        <v>2528548.7518804967</v>
      </c>
      <c r="I67" s="19">
        <f t="shared" ref="I67" si="96">I63-I64-I65-I66</f>
        <v>2718782.469425248</v>
      </c>
      <c r="J67" s="19">
        <f t="shared" ref="J67" si="97">J63-J64-J65-J66</f>
        <v>2911962.4316704702</v>
      </c>
      <c r="K67" s="19">
        <f t="shared" ref="K67" si="98">K63-K64-K65-K66</f>
        <v>3108134.2685809694</v>
      </c>
      <c r="L67" s="19">
        <f t="shared" ref="L67" si="99">L63-L64-L65-L66</f>
        <v>3307344.3168156166</v>
      </c>
      <c r="M67" s="19">
        <f t="shared" ref="M67" si="100">M63-M64-M65-M66</f>
        <v>3509639.6306722984</v>
      </c>
      <c r="N67" s="19">
        <f t="shared" ref="N67" si="101">N63-N64-N65-N66</f>
        <v>3715067.9932023399</v>
      </c>
      <c r="O67" s="19">
        <f t="shared" ref="O67" si="102">O63-O64-O65-O66</f>
        <v>3923677.9274970628</v>
      </c>
      <c r="P67" s="19">
        <f t="shared" ref="P67" si="103">P63-P64-P65-P66</f>
        <v>4135518.7081491724</v>
      </c>
      <c r="Q67" s="19">
        <f t="shared" ref="Q67" si="104">Q63-Q64-Q65-Q66</f>
        <v>4350640.3728916347</v>
      </c>
      <c r="R67" s="19">
        <f t="shared" ref="R67" si="105">R63-R64-R65-R66</f>
        <v>-4430906.265583206</v>
      </c>
      <c r="S67" s="19">
        <f t="shared" ref="S67" si="106">S63-S64-S65-S66</f>
        <v>4790930.3923785761</v>
      </c>
      <c r="T67" s="19">
        <f t="shared" ref="T67" si="107">T63-T64-T65-T66</f>
        <v>5016202.745580541</v>
      </c>
      <c r="U67" s="19">
        <f t="shared" ref="U67" si="108">U63-U64-U65-U66</f>
        <v>5244964.0043527186</v>
      </c>
      <c r="V67" s="19">
        <f t="shared" ref="V67" si="109">V63-V64-V65-V66</f>
        <v>5477268.2031201329</v>
      </c>
      <c r="W67" s="19">
        <f t="shared" ref="W67" si="110">W63-W64-W65-W66</f>
        <v>5713170.2131659538</v>
      </c>
      <c r="X67" s="19">
        <f t="shared" ref="X67" si="111">X63-X64-X65-X66</f>
        <v>5952725.7555923685</v>
      </c>
      <c r="Y67" s="19">
        <f t="shared" ref="Y67" si="112">Y63-Y64-Y65-Y66</f>
        <v>6195991.4144821055</v>
      </c>
      <c r="Z67" s="19">
        <f t="shared" ref="Z67" si="113">Z63-Z64-Z65-Z66</f>
        <v>6443024.6502638999</v>
      </c>
      <c r="AA67" s="19">
        <f t="shared" ref="AA67" si="114">AA63-AA64-AA65-AA66</f>
        <v>6693883.8132848646</v>
      </c>
      <c r="AB67" s="19">
        <f t="shared" ref="AB67" si="115">AB63-AB64-AB65-AB66</f>
        <v>6948628.1575931143</v>
      </c>
      <c r="AC67" s="19">
        <f t="shared" ref="AC67" si="116">AC63-AC64-AC65-AC66</f>
        <v>7207317.8549338393</v>
      </c>
    </row>
    <row r="68" spans="1:29" x14ac:dyDescent="0.2">
      <c r="A68" s="35" t="s">
        <v>16</v>
      </c>
      <c r="B68" s="33">
        <f>IF(B67&gt;0,B67*20%,0)</f>
        <v>0</v>
      </c>
      <c r="C68" s="33">
        <f t="shared" ref="C68:E68" si="117">IF(C67&gt;0,C67*20%,0)</f>
        <v>0</v>
      </c>
      <c r="D68" s="33">
        <f t="shared" si="117"/>
        <v>0</v>
      </c>
      <c r="E68" s="33">
        <f t="shared" si="117"/>
        <v>0</v>
      </c>
      <c r="F68" s="33">
        <f>IF(F67&gt;0,F67*20%,0)</f>
        <v>431348.2</v>
      </c>
      <c r="G68" s="33">
        <f t="shared" ref="G68:AC68" si="118">IF(G67&gt;0,G67*20%,0)</f>
        <v>468243.26899750013</v>
      </c>
      <c r="H68" s="33">
        <f t="shared" si="118"/>
        <v>505709.75037609937</v>
      </c>
      <c r="I68" s="33">
        <f t="shared" si="118"/>
        <v>543756.4938850496</v>
      </c>
      <c r="J68" s="33">
        <f t="shared" si="118"/>
        <v>582392.48633409408</v>
      </c>
      <c r="K68" s="33">
        <f t="shared" si="118"/>
        <v>621626.85371619393</v>
      </c>
      <c r="L68" s="33">
        <f t="shared" si="118"/>
        <v>661468.86336312338</v>
      </c>
      <c r="M68" s="33">
        <f t="shared" si="118"/>
        <v>701927.92613445967</v>
      </c>
      <c r="N68" s="33">
        <f t="shared" si="118"/>
        <v>743013.59864046797</v>
      </c>
      <c r="O68" s="33">
        <f t="shared" si="118"/>
        <v>784735.58549941261</v>
      </c>
      <c r="P68" s="33">
        <f t="shared" si="118"/>
        <v>827103.74162983452</v>
      </c>
      <c r="Q68" s="33">
        <f t="shared" si="118"/>
        <v>870128.07457832701</v>
      </c>
      <c r="R68" s="33">
        <f t="shared" si="118"/>
        <v>0</v>
      </c>
      <c r="S68" s="33">
        <f t="shared" si="118"/>
        <v>958186.07847571524</v>
      </c>
      <c r="T68" s="33">
        <f t="shared" si="118"/>
        <v>1003240.5491161082</v>
      </c>
      <c r="U68" s="33">
        <f t="shared" si="118"/>
        <v>1048992.8008705438</v>
      </c>
      <c r="V68" s="33">
        <f t="shared" si="118"/>
        <v>1095453.6406240265</v>
      </c>
      <c r="W68" s="33">
        <f t="shared" si="118"/>
        <v>1142634.0426331908</v>
      </c>
      <c r="X68" s="33">
        <f t="shared" si="118"/>
        <v>1190545.1511184738</v>
      </c>
      <c r="Y68" s="33">
        <f t="shared" si="118"/>
        <v>1239198.2828964212</v>
      </c>
      <c r="Z68" s="33">
        <f t="shared" si="118"/>
        <v>1288604.9300527801</v>
      </c>
      <c r="AA68" s="33">
        <f t="shared" si="118"/>
        <v>1338776.762656973</v>
      </c>
      <c r="AB68" s="33">
        <f t="shared" si="118"/>
        <v>1389725.6315186229</v>
      </c>
      <c r="AC68" s="33">
        <f t="shared" si="118"/>
        <v>1441463.570986768</v>
      </c>
    </row>
    <row r="69" spans="1:29" x14ac:dyDescent="0.2">
      <c r="A69" s="36" t="s">
        <v>62</v>
      </c>
      <c r="B69" s="19">
        <f>SUM(B67:B68)</f>
        <v>-16245000</v>
      </c>
      <c r="C69" s="19">
        <f t="shared" ref="C69:E69" si="119">SUM(C67:C68)</f>
        <v>-7245000</v>
      </c>
      <c r="D69" s="19">
        <f t="shared" si="119"/>
        <v>-7245000</v>
      </c>
      <c r="E69" s="19">
        <f t="shared" si="119"/>
        <v>-9754500</v>
      </c>
      <c r="F69" s="19">
        <f>SUM(F67:F68)</f>
        <v>2588089.2000000002</v>
      </c>
      <c r="G69" s="19">
        <f t="shared" ref="G69:AC69" si="120">SUM(G67:G68)</f>
        <v>2809459.6139850006</v>
      </c>
      <c r="H69" s="19">
        <f t="shared" si="120"/>
        <v>3034258.502256596</v>
      </c>
      <c r="I69" s="19">
        <f t="shared" si="120"/>
        <v>3262538.9633102976</v>
      </c>
      <c r="J69" s="19">
        <f t="shared" si="120"/>
        <v>3494354.918004564</v>
      </c>
      <c r="K69" s="19">
        <f t="shared" si="120"/>
        <v>3729761.1222971631</v>
      </c>
      <c r="L69" s="19">
        <f t="shared" si="120"/>
        <v>3968813.1801787401</v>
      </c>
      <c r="M69" s="19">
        <f t="shared" si="120"/>
        <v>4211567.556806758</v>
      </c>
      <c r="N69" s="19">
        <f t="shared" si="120"/>
        <v>4458081.5918428078</v>
      </c>
      <c r="O69" s="19">
        <f t="shared" si="120"/>
        <v>4708413.5129964752</v>
      </c>
      <c r="P69" s="19">
        <f t="shared" si="120"/>
        <v>4962622.4497790067</v>
      </c>
      <c r="Q69" s="19">
        <f t="shared" si="120"/>
        <v>5220768.4474699618</v>
      </c>
      <c r="R69" s="19">
        <f t="shared" si="120"/>
        <v>-4430906.265583206</v>
      </c>
      <c r="S69" s="19">
        <f t="shared" si="120"/>
        <v>5749116.4708542917</v>
      </c>
      <c r="T69" s="19">
        <f t="shared" si="120"/>
        <v>6019443.2946966495</v>
      </c>
      <c r="U69" s="19">
        <f t="shared" si="120"/>
        <v>6293956.8052232619</v>
      </c>
      <c r="V69" s="19">
        <f t="shared" si="120"/>
        <v>6572721.8437441597</v>
      </c>
      <c r="W69" s="19">
        <f t="shared" si="120"/>
        <v>6855804.2557991445</v>
      </c>
      <c r="X69" s="19">
        <f t="shared" si="120"/>
        <v>7143270.9067108426</v>
      </c>
      <c r="Y69" s="19">
        <f t="shared" si="120"/>
        <v>7435189.6973785264</v>
      </c>
      <c r="Z69" s="19">
        <f t="shared" si="120"/>
        <v>7731629.5803166796</v>
      </c>
      <c r="AA69" s="19">
        <f t="shared" si="120"/>
        <v>8032660.5759418374</v>
      </c>
      <c r="AB69" s="19">
        <f t="shared" si="120"/>
        <v>8338353.7891117372</v>
      </c>
      <c r="AC69" s="19">
        <f t="shared" si="120"/>
        <v>8648781.4259206075</v>
      </c>
    </row>
    <row r="70" spans="1:29" x14ac:dyDescent="0.2">
      <c r="A70" s="4" t="s">
        <v>57</v>
      </c>
      <c r="B70" s="19">
        <f t="shared" ref="B70" si="121">IF(SUM(B67:B68)&lt;0,SUM(B67:B68),0)</f>
        <v>-16245000</v>
      </c>
      <c r="C70" s="19">
        <f t="shared" ref="C70:E70" si="122">IF(SUM(C67:C68)&lt;0,SUM(C67:C68),0)</f>
        <v>-7245000</v>
      </c>
      <c r="D70" s="19">
        <f t="shared" si="122"/>
        <v>-7245000</v>
      </c>
      <c r="E70" s="19">
        <f t="shared" si="122"/>
        <v>-9754500</v>
      </c>
      <c r="F70" s="19">
        <f>IF(SUM(F67:F68)&lt;0,SUM(F67:F68),SUM(F67:F68)*1/(1+Предпосылки!$E$22/12)^F55)</f>
        <v>2555405.6670797709</v>
      </c>
      <c r="G70" s="19">
        <f>IF(SUM(G67:G68)&lt;0,SUM(G67:G68),SUM(G67:G68)*1/(1+Предпосылки!$E$22/12)^G55)</f>
        <v>2738949.467211924</v>
      </c>
      <c r="H70" s="19">
        <f>IF(SUM(H67:H68)&lt;0,SUM(H67:H68),SUM(H67:H68)*1/(1+Предпосылки!$E$22/12)^H55)</f>
        <v>2920750.2121012532</v>
      </c>
      <c r="I70" s="19">
        <f>IF(SUM(I67:I68)&lt;0,SUM(I67:I68),SUM(I67:I68)*1/(1+Предпосылки!$E$22/12)^I55)</f>
        <v>3100831.4448295697</v>
      </c>
      <c r="J70" s="19">
        <f>IF(SUM(J67:J68)&lt;0,SUM(J67:J68),SUM(J67:J68)*1/(1+Предпосылки!$E$22/12)^J55)</f>
        <v>3279216.415244062</v>
      </c>
      <c r="K70" s="19">
        <f>IF(SUM(K67:K68)&lt;0,SUM(K67:K68),SUM(K67:K68)*1/(1+Предпосылки!$E$22/12)^K55)</f>
        <v>3455928.0836712699</v>
      </c>
      <c r="L70" s="19">
        <f>IF(SUM(L67:L68)&lt;0,SUM(L67:L68),SUM(L67:L68)*1/(1+Предпосылки!$E$22/12)^L55)</f>
        <v>3630989.1245841375</v>
      </c>
      <c r="M70" s="19">
        <f>IF(SUM(M67:M68)&lt;0,SUM(M67:M68),SUM(M67:M68)*1/(1+Предпосылки!$E$22/12)^M55)</f>
        <v>3804421.9302228452</v>
      </c>
      <c r="N70" s="19">
        <f>IF(SUM(N67:N68)&lt;0,SUM(N67:N68),SUM(N67:N68)*1/(1+Предпосылки!$E$22/12)^N55)</f>
        <v>3976248.6141699106</v>
      </c>
      <c r="O70" s="19">
        <f>IF(SUM(O67:O68)&lt;0,SUM(O67:O68),SUM(O67:O68)*1/(1+Предпосылки!$E$22/12)^O55)</f>
        <v>4146491.0148801608</v>
      </c>
      <c r="P70" s="19">
        <f>IF(SUM(P67:P68)&lt;0,SUM(P67:P68),SUM(P67:P68)*1/(1+Предпосылки!$E$22/12)^P55)</f>
        <v>4315170.6991661964</v>
      </c>
      <c r="Q70" s="19">
        <f>IF(SUM(Q67:Q68)&lt;0,SUM(Q67:Q68),SUM(Q67:Q68)*1/(1+Предпосылки!$E$22/12)^Q55)</f>
        <v>4482308.9656398408</v>
      </c>
      <c r="R70" s="19">
        <f>IF(SUM(R67:R68)&lt;0,SUM(R67:R68),SUM(R67:R68)*1/(1+Предпосылки!$E$23/12)^R55)</f>
        <v>-4430906.265583206</v>
      </c>
      <c r="S70" s="19">
        <f>IF(SUM(S67:S68)&lt;0,SUM(S67:S68),SUM(S67:S68)*1/(1+Предпосылки!$E$23/12)^S55)</f>
        <v>4757052.5035766996</v>
      </c>
      <c r="T70" s="19">
        <f>IF(SUM(T67:T68)&lt;0,SUM(T67:T68),SUM(T67:T68)*1/(1+Предпосылки!$E$23/12)^T55)</f>
        <v>4913797.1616268922</v>
      </c>
      <c r="U70" s="19">
        <f>IF(SUM(U67:U68)&lt;0,SUM(U67:U68),SUM(U67:U68)*1/(1+Предпосылки!$E$23/12)^U55)</f>
        <v>5068841.5483887643</v>
      </c>
      <c r="V70" s="19">
        <f>IF(SUM(V67:V68)&lt;0,SUM(V67:V68),SUM(V67:V68)*1/(1+Предпосылки!$E$23/12)^V55)</f>
        <v>5222209.2609835053</v>
      </c>
      <c r="W70" s="19">
        <f>IF(SUM(W67:W68)&lt;0,SUM(W67:W68),SUM(W67:W68)*1/(1+Предпосылки!$E$23/12)^W55)</f>
        <v>5373923.5807929328</v>
      </c>
      <c r="X70" s="19">
        <f>IF(SUM(X67:X68)&lt;0,SUM(X67:X68),SUM(X67:X68)*1/(1+Предпосылки!$E$23/12)^X55)</f>
        <v>5524007.4777051974</v>
      </c>
      <c r="Y70" s="19">
        <f>IF(SUM(Y67:Y68)&lt;0,SUM(Y67:Y68),SUM(Y67:Y68)*1/(1+Предпосылки!$E$23/12)^Y55)</f>
        <v>5672483.6143033514</v>
      </c>
      <c r="Z70" s="19">
        <f>IF(SUM(Z67:Z68)&lt;0,SUM(Z67:Z68),SUM(Z67:Z68)*1/(1+Предпосылки!$E$24/12)^Z55)</f>
        <v>5819374.3499977347</v>
      </c>
      <c r="AA70" s="19">
        <f>IF(SUM(AA67:AA68)&lt;0,SUM(AA67:AA68),SUM(AA67:AA68)*1/(1+Предпосылки!$E$24/12)^AA55)</f>
        <v>5964701.7451027483</v>
      </c>
      <c r="AB70" s="19">
        <f>IF(SUM(AB67:AB68)&lt;0,SUM(AB67:AB68),SUM(AB67:AB68)*1/(1+Предпосылки!$E$24/12)^AB55)</f>
        <v>6108487.5648588818</v>
      </c>
      <c r="AC70" s="19">
        <f>IF(SUM(AC67:AC68)&lt;0,SUM(AC67:AC68),SUM(AC67:AC68)*1/(1+Предпосылки!$E$24/12)^AC55)</f>
        <v>6250753.2834006995</v>
      </c>
    </row>
    <row r="71" spans="1:29" x14ac:dyDescent="0.2">
      <c r="C71" s="19"/>
      <c r="E71" s="18"/>
    </row>
    <row r="72" spans="1:29" x14ac:dyDescent="0.2">
      <c r="A72" s="63" t="s">
        <v>56</v>
      </c>
      <c r="B72" s="64">
        <f>SUM(B70:AC70)</f>
        <v>58161937.463955149</v>
      </c>
      <c r="E72" s="19"/>
      <c r="M72" s="19"/>
    </row>
    <row r="73" spans="1:29" x14ac:dyDescent="0.2">
      <c r="A73" s="63" t="s">
        <v>59</v>
      </c>
      <c r="B73" s="64">
        <v>12</v>
      </c>
      <c r="D73" s="19"/>
    </row>
    <row r="74" spans="1:29" x14ac:dyDescent="0.2">
      <c r="A74" s="62" t="s">
        <v>63</v>
      </c>
      <c r="B74" s="64">
        <f>SUM(B65:AC65)</f>
        <v>202860000</v>
      </c>
    </row>
    <row r="75" spans="1:29" x14ac:dyDescent="0.2">
      <c r="A75" s="62" t="s">
        <v>125</v>
      </c>
      <c r="B75" s="84">
        <f>(SUM(B69:AC69)-SUM(B64:AC65))/SUM(B64:AC65)*100%</f>
        <v>-0.63619826388190748</v>
      </c>
    </row>
    <row r="76" spans="1:29" x14ac:dyDescent="0.2">
      <c r="A76" s="62" t="s">
        <v>64</v>
      </c>
      <c r="B76" s="57">
        <f>IRR(B69:AC69)</f>
        <v>7.5745008791947788E-2</v>
      </c>
    </row>
    <row r="77" spans="1:29" x14ac:dyDescent="0.2">
      <c r="A77" s="62" t="s">
        <v>163</v>
      </c>
      <c r="B77" s="101">
        <f>(F56^AC55+G56^AB55+H56^AA55+I56^I55+J56^Y55+K56^X55+L56^W55+M56^V55+N56^U55+O56^T55+P56^S55+Q56^R55+R56^Q55+S56^P55+T56^O55+U56^N55+V56^M55+W56^L55+X56^J55+Y56^I55+Z56^H55+AA56^G55+AB56^F55+AC56^Z55+AC55)*Предпосылки!$E$2/SUM('Cash Flow'!B64:AC66)</f>
        <v>6.4857667154844947</v>
      </c>
    </row>
  </sheetData>
  <mergeCells count="3">
    <mergeCell ref="A1:H1"/>
    <mergeCell ref="A27:H27"/>
    <mergeCell ref="A53:H53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Показатели</vt:lpstr>
      <vt:lpstr>Предпосылки</vt:lpstr>
      <vt:lpstr>Расходники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matzur.lina@yandex.ru</cp:lastModifiedBy>
  <dcterms:created xsi:type="dcterms:W3CDTF">2025-11-12T16:27:49Z</dcterms:created>
  <dcterms:modified xsi:type="dcterms:W3CDTF">2025-11-28T20:53:34Z</dcterms:modified>
</cp:coreProperties>
</file>